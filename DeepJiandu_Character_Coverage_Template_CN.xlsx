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填数表" sheetId="1" r:id="rId1"/>
    <sheet name="汇总" sheetId="2" r:id="rId2"/>
    <sheet name="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<sst xmlns="http://schemas.openxmlformats.org/spreadsheetml/2006/main" count="194" uniqueCount="59">
  <si>
    <t>DeepJiandu 字符级定位人工统计表</t>
  </si>
  <si>
    <t>每一行对应 1 张评测图片。M_i = 该图可见/标注字符总数；K_i = 其中被预测框命中的字符数。</t>
  </si>
  <si>
    <t>序号</t>
  </si>
  <si>
    <t>图片文件名</t>
  </si>
  <si>
    <t>图片总字数 M_i</t>
  </si>
  <si>
    <t>预测框命中字数 K_i</t>
  </si>
  <si>
    <t>单张覆盖率</t>
  </si>
  <si>
    <t>状态</t>
  </si>
  <si>
    <t>备注 / 不确定情况</t>
  </si>
  <si>
    <t>已完成</t>
  </si>
  <si>
    <t>DeepJiandu 字符级定位覆盖率汇总</t>
  </si>
  <si>
    <t>指标</t>
  </si>
  <si>
    <t>数值</t>
  </si>
  <si>
    <t>论文中替换位置</t>
  </si>
  <si>
    <t>含义 / 公式</t>
  </si>
  <si>
    <t/>
  </si>
  <si>
    <t>已填写图片数</t>
  </si>
  <si>
    <t>仅检查用</t>
  </si>
  <si>
    <t>图片文件名不为空的行数</t>
  </si>
  <si>
    <t>已完成统计数</t>
  </si>
  <si>
    <t>状态为“已完成”的行数</t>
  </si>
  <si>
    <t>M_DJ</t>
  </si>
  <si>
    <t>替换 [M\_DJ]</t>
  </si>
  <si>
    <t>100 张图中的可见字符总数</t>
  </si>
  <si>
    <t>K_DJ</t>
  </si>
  <si>
    <t>替换 [K\_DJ]</t>
  </si>
  <si>
    <t>被预测框命中的字符总数</t>
  </si>
  <si>
    <t>PCT_DJ</t>
  </si>
  <si>
    <t>替换 [PCT\_DJ]</t>
  </si>
  <si>
    <t>K_DJ / M_DJ × 100，保留一位小数</t>
  </si>
  <si>
    <t>可选：macro 平均</t>
  </si>
  <si>
    <t>新版 Table 8 不用这个</t>
  </si>
  <si>
    <t>每张图覆盖率的平均值，仅用于自查</t>
  </si>
  <si>
    <t>填完后，把下面三个数替换进 LaTeX</t>
  </si>
  <si>
    <t>在 .tex 中查找</t>
  </si>
  <si>
    <t>替换成</t>
  </si>
  <si>
    <t>含义</t>
  </si>
  <si>
    <t>备注</t>
  </si>
  <si>
    <t>[M\_DJ]</t>
  </si>
  <si>
    <t>可见字符总数</t>
  </si>
  <si>
    <t>用上面 B6 的整数</t>
  </si>
  <si>
    <t>[K\_DJ]</t>
  </si>
  <si>
    <t>命中字符总数</t>
  </si>
  <si>
    <t>用上面 B7 的整数</t>
  </si>
  <si>
    <t>[PCT\_DJ]</t>
  </si>
  <si>
    <t>覆盖率百分比</t>
  </si>
  <si>
    <t>用 B8×100，保留一位小数</t>
  </si>
  <si>
    <t>怎么数</t>
  </si>
  <si>
    <t>1. 打开每一张评测图片，以及对应的预测框结果图。</t>
  </si>
  <si>
    <t>2. 数 M_i：这张图里总共有多少个可见/标注字符。</t>
  </si>
  <si>
    <t>3. 数 K_i：这些字符里面，有多少个被预测框命中或覆盖到。</t>
  </si>
  <si>
    <t>4. 把图片名、M_i、K_i 填进“填数表”，状态改成“已完成”。</t>
  </si>
  <si>
    <t>5. 这次不要再用 macro / micro / precision / F1，那套已经换掉了。</t>
  </si>
  <si>
    <t>判断规则</t>
  </si>
  <si>
    <t>只要一个字符被预测框明显框到或覆盖到，就算命中。特别不确定的情况，状态选“需复核”，并在备注里写一下。</t>
  </si>
  <si>
    <t>最后论文要用的三个数</t>
  </si>
  <si>
    <t>M_DJ = 所有 M_i 相加，也就是 100 张图的总字数。</t>
  </si>
  <si>
    <t>K_DJ = 所有 K_i 相加，也就是预测框命中的总字数。</t>
  </si>
  <si>
    <t>PCT_DJ = K_DJ / M_DJ × 100，保留一位小数。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</si>
</sst>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"/>
  </numFmts>
  <fonts count="25">
    <font>
      <sz val="11"/>
      <name val="Carlito"/>
      <charset val="134"/>
    </font>
    <font>
      <b/>
      <sz val="14"/>
      <color rgb="FFFFFFFF"/>
      <name val="SimSun"/>
      <charset val="134"/>
    </font>
    <font>
      <sz val="11"/>
      <name val="SimSun"/>
      <charset val="134"/>
    </font>
    <font>
      <b/>
      <sz val="11"/>
      <color rgb="FFFFFFFF"/>
      <name val="SimSun"/>
      <charset val="134"/>
    </font>
    <font>
      <i/>
      <sz val="11"/>
      <color rgb="FF1F1F1F"/>
      <name val="SimSu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3" fillId="3" borderId="0" xfId="49" applyNumberFormat="1" applyFont="1" applyFill="1" applyBorder="1" applyAlignment="1">
      <alignment vertical="center" wrapText="1"/>
    </xf>
    <xf numFmtId="0" fontId="1" fillId="2" borderId="0" xfId="49" applyNumberFormat="1" applyFont="1" applyFill="1" applyBorder="1" applyAlignment="1">
      <alignment horizontal="center"/>
    </xf>
    <xf numFmtId="0" fontId="3" fillId="3" borderId="0" xfId="49" applyNumberFormat="1" applyFont="1" applyFill="1" applyBorder="1" applyAlignment="1">
      <alignment horizontal="center"/>
    </xf>
    <xf numFmtId="176" fontId="2" fillId="0" borderId="0" xfId="49" applyNumberFormat="1" applyFont="1" applyFill="1" applyBorder="1" applyAlignment="1">
      <alignment vertical="center" wrapText="1"/>
    </xf>
    <xf numFmtId="0" fontId="3" fillId="4" borderId="0" xfId="49" applyNumberFormat="1" applyFont="1" applyFill="1" applyBorder="1" applyAlignment="1">
      <alignment horizontal="center"/>
    </xf>
    <xf numFmtId="0" fontId="3" fillId="3" borderId="0" xfId="49" applyNumberFormat="1" applyFont="1" applyFill="1" applyBorder="1" applyAlignment="1">
      <alignment horizontal="center" vertical="center" wrapText="1"/>
    </xf>
    <xf numFmtId="177" fontId="2" fillId="0" borderId="0" xfId="49" applyNumberFormat="1" applyFont="1" applyFill="1" applyBorder="1" applyAlignment="1">
      <alignment vertical="center" wrapText="1"/>
    </xf>
    <xf numFmtId="0" fontId="1" fillId="2" borderId="0" xfId="49" applyNumberFormat="1" applyFont="1" applyFill="1" applyBorder="1" applyAlignment="1">
      <alignment horizontal="center" vertical="center"/>
    </xf>
    <xf numFmtId="0" fontId="4" fillId="5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horizontal="center" wrapText="1"/>
    </xf>
    <xf numFmtId="0" fontId="2" fillId="0" borderId="0" xfId="49" applyNumberFormat="1" applyFont="1" applyFill="1" applyBorder="1" applyAlignment="1">
      <alignment wrapText="1"/>
    </xf>
    <xf numFmtId="176" fontId="2" fillId="0" borderId="0" xfId="49" applyNumberFormat="1" applyFont="1" applyFill="1" applyBorder="1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untingTableCN" displayName="CountingTableCN" ref="A4:G104">
  <tableColumns count="7">
    <tableColumn id="1" name="序号"/>
    <tableColumn id="2" name="图片文件名"/>
    <tableColumn id="3" name="图片总字数 M_i"/>
    <tableColumn id="4" name="预测框命中字数 K_i"/>
    <tableColumn id="5" name="单张覆盖率"/>
    <tableColumn id="6" name="状态"/>
    <tableColumn id="7" name="备注 / 不确定情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"/>
  <sheetViews>
    <sheetView tabSelected="1" topLeftCell="A83" workbookViewId="0">
      <selection activeCell="I99" sqref="I99"/>
    </sheetView>
  </sheetViews>
  <sheetFormatPr defaultColWidth="9" defaultRowHeight="14" outlineLevelCol="6"/>
  <cols>
    <col min="1" max="1" width="8" customWidth="1"/>
    <col min="2" max="2" width="34" customWidth="1"/>
    <col min="3" max="4" width="18" customWidth="1"/>
    <col min="5" max="5" width="15" customWidth="1"/>
    <col min="6" max="6" width="14" customWidth="1"/>
    <col min="7" max="7" width="34" customWidth="1"/>
  </cols>
  <sheetData>
    <row r="1" ht="28" customHeight="1" spans="1:7">
      <c r="A1" s="10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ht="36" customHeight="1" spans="1:7">
      <c r="A2" s="11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4" ht="32" customHeight="1" spans="1:7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</row>
    <row r="5" ht="21" customHeight="1" spans="1:7">
      <c r="A5" s="12">
        <v>1</v>
      </c>
      <c r="B5" s="13">
        <v>2</v>
      </c>
      <c r="C5" s="12">
        <v>17</v>
      </c>
      <c r="D5" s="12">
        <v>15</v>
      </c>
      <c r="E5" s="14">
        <f t="shared" ref="E5:E68" si="0">IF(OR(C5="",D5=""),"",IF(C5=0,"",D5/C5))</f>
        <v>0.882352941176471</v>
      </c>
      <c r="F5" s="13" t="s">
        <v>9</v>
      </c>
      <c r="G5" s="13"/>
    </row>
    <row r="6" ht="21" customHeight="1" spans="1:7">
      <c r="A6" s="12">
        <v>2</v>
      </c>
      <c r="B6" s="13">
        <v>263</v>
      </c>
      <c r="C6" s="12">
        <v>28</v>
      </c>
      <c r="D6" s="12">
        <v>21</v>
      </c>
      <c r="E6" s="14">
        <f t="shared" si="0"/>
        <v>0.75</v>
      </c>
      <c r="F6" s="13" t="s">
        <v>9</v>
      </c>
      <c r="G6" s="13"/>
    </row>
    <row r="7" ht="21" customHeight="1" spans="1:7">
      <c r="A7" s="12">
        <v>3</v>
      </c>
      <c r="B7" s="13">
        <v>266</v>
      </c>
      <c r="C7" s="12">
        <v>9</v>
      </c>
      <c r="D7" s="12">
        <v>7</v>
      </c>
      <c r="E7" s="14">
        <f t="shared" si="0"/>
        <v>0.777777777777778</v>
      </c>
      <c r="F7" s="13" t="s">
        <v>9</v>
      </c>
      <c r="G7" s="13"/>
    </row>
    <row r="8" ht="21" customHeight="1" spans="1:7">
      <c r="A8" s="12">
        <v>4</v>
      </c>
      <c r="B8" s="13">
        <v>389</v>
      </c>
      <c r="C8" s="12">
        <v>19</v>
      </c>
      <c r="D8" s="12">
        <v>19</v>
      </c>
      <c r="E8" s="14">
        <f t="shared" si="0"/>
        <v>1</v>
      </c>
      <c r="F8" s="13" t="s">
        <v>9</v>
      </c>
      <c r="G8" s="13"/>
    </row>
    <row r="9" ht="21" customHeight="1" spans="1:7">
      <c r="A9" s="12">
        <v>5</v>
      </c>
      <c r="B9" s="13">
        <v>396</v>
      </c>
      <c r="C9" s="12">
        <v>18</v>
      </c>
      <c r="D9" s="12">
        <v>18</v>
      </c>
      <c r="E9" s="14">
        <f t="shared" si="0"/>
        <v>1</v>
      </c>
      <c r="F9" s="13" t="s">
        <v>9</v>
      </c>
      <c r="G9" s="13"/>
    </row>
    <row r="10" ht="21" customHeight="1" spans="1:7">
      <c r="A10" s="12">
        <v>6</v>
      </c>
      <c r="B10" s="13">
        <v>419</v>
      </c>
      <c r="C10" s="12">
        <v>6</v>
      </c>
      <c r="D10" s="12">
        <v>4</v>
      </c>
      <c r="E10" s="14">
        <f t="shared" si="0"/>
        <v>0.666666666666667</v>
      </c>
      <c r="F10" s="13" t="s">
        <v>9</v>
      </c>
      <c r="G10" s="13"/>
    </row>
    <row r="11" ht="21" customHeight="1" spans="1:7">
      <c r="A11" s="12">
        <v>7</v>
      </c>
      <c r="B11" s="13">
        <v>426</v>
      </c>
      <c r="C11" s="12">
        <v>62</v>
      </c>
      <c r="D11" s="12">
        <v>40</v>
      </c>
      <c r="E11" s="14">
        <f t="shared" si="0"/>
        <v>0.645161290322581</v>
      </c>
      <c r="F11" s="13" t="s">
        <v>9</v>
      </c>
      <c r="G11" s="13"/>
    </row>
    <row r="12" ht="21" customHeight="1" spans="1:7">
      <c r="A12" s="12">
        <v>8</v>
      </c>
      <c r="B12" s="13">
        <v>467</v>
      </c>
      <c r="C12" s="12">
        <v>22</v>
      </c>
      <c r="D12" s="12">
        <v>19</v>
      </c>
      <c r="E12" s="14">
        <f t="shared" si="0"/>
        <v>0.863636363636364</v>
      </c>
      <c r="F12" s="13" t="s">
        <v>9</v>
      </c>
      <c r="G12" s="13"/>
    </row>
    <row r="13" ht="21" customHeight="1" spans="1:7">
      <c r="A13" s="12">
        <v>9</v>
      </c>
      <c r="B13" s="13">
        <v>470</v>
      </c>
      <c r="C13" s="12">
        <v>8</v>
      </c>
      <c r="D13" s="12">
        <v>7</v>
      </c>
      <c r="E13" s="14">
        <f t="shared" si="0"/>
        <v>0.875</v>
      </c>
      <c r="F13" s="13" t="s">
        <v>9</v>
      </c>
      <c r="G13" s="13"/>
    </row>
    <row r="14" ht="21" customHeight="1" spans="1:7">
      <c r="A14" s="12">
        <v>10</v>
      </c>
      <c r="B14" s="13">
        <v>501</v>
      </c>
      <c r="C14" s="12">
        <v>22</v>
      </c>
      <c r="D14" s="12">
        <v>16</v>
      </c>
      <c r="E14" s="14">
        <f t="shared" si="0"/>
        <v>0.727272727272727</v>
      </c>
      <c r="F14" s="13" t="s">
        <v>9</v>
      </c>
      <c r="G14" s="13"/>
    </row>
    <row r="15" ht="21" customHeight="1" spans="1:7">
      <c r="A15" s="12">
        <v>11</v>
      </c>
      <c r="B15" s="13">
        <v>517</v>
      </c>
      <c r="C15" s="12">
        <v>22</v>
      </c>
      <c r="D15" s="12">
        <v>22</v>
      </c>
      <c r="E15" s="14">
        <f t="shared" si="0"/>
        <v>1</v>
      </c>
      <c r="F15" s="13" t="s">
        <v>9</v>
      </c>
      <c r="G15" s="13"/>
    </row>
    <row r="16" ht="21" customHeight="1" spans="1:7">
      <c r="A16" s="12">
        <v>12</v>
      </c>
      <c r="B16" s="13">
        <v>532</v>
      </c>
      <c r="C16" s="12">
        <v>22</v>
      </c>
      <c r="D16" s="12">
        <v>20</v>
      </c>
      <c r="E16" s="14">
        <f t="shared" si="0"/>
        <v>0.909090909090909</v>
      </c>
      <c r="F16" s="13" t="s">
        <v>9</v>
      </c>
      <c r="G16" s="13"/>
    </row>
    <row r="17" ht="21" customHeight="1" spans="1:7">
      <c r="A17" s="12">
        <v>13</v>
      </c>
      <c r="B17" s="13">
        <v>558</v>
      </c>
      <c r="C17" s="12">
        <v>27</v>
      </c>
      <c r="D17" s="12">
        <v>11</v>
      </c>
      <c r="E17" s="14">
        <f t="shared" si="0"/>
        <v>0.407407407407407</v>
      </c>
      <c r="F17" s="13" t="s">
        <v>9</v>
      </c>
      <c r="G17" s="13"/>
    </row>
    <row r="18" ht="21" customHeight="1" spans="1:7">
      <c r="A18" s="12">
        <v>14</v>
      </c>
      <c r="B18" s="13">
        <v>616</v>
      </c>
      <c r="C18" s="12">
        <v>44</v>
      </c>
      <c r="D18" s="12">
        <v>34</v>
      </c>
      <c r="E18" s="14">
        <f t="shared" si="0"/>
        <v>0.772727272727273</v>
      </c>
      <c r="F18" s="13" t="s">
        <v>9</v>
      </c>
      <c r="G18" s="13"/>
    </row>
    <row r="19" ht="21" customHeight="1" spans="1:7">
      <c r="A19" s="12">
        <v>15</v>
      </c>
      <c r="B19" s="13">
        <v>675</v>
      </c>
      <c r="C19" s="12">
        <v>5</v>
      </c>
      <c r="D19" s="12">
        <v>3</v>
      </c>
      <c r="E19" s="14">
        <f t="shared" si="0"/>
        <v>0.6</v>
      </c>
      <c r="F19" s="13" t="s">
        <v>9</v>
      </c>
      <c r="G19" s="13"/>
    </row>
    <row r="20" ht="21" customHeight="1" spans="1:7">
      <c r="A20" s="12">
        <v>16</v>
      </c>
      <c r="B20" s="13">
        <v>850</v>
      </c>
      <c r="C20" s="12">
        <v>14</v>
      </c>
      <c r="D20" s="12">
        <v>14</v>
      </c>
      <c r="E20" s="14">
        <f t="shared" si="0"/>
        <v>1</v>
      </c>
      <c r="F20" s="13" t="s">
        <v>9</v>
      </c>
      <c r="G20" s="13"/>
    </row>
    <row r="21" ht="21" customHeight="1" spans="1:7">
      <c r="A21" s="12">
        <v>17</v>
      </c>
      <c r="B21" s="13">
        <v>938</v>
      </c>
      <c r="C21" s="12">
        <v>44</v>
      </c>
      <c r="D21" s="12">
        <v>38</v>
      </c>
      <c r="E21" s="14">
        <f t="shared" si="0"/>
        <v>0.863636363636364</v>
      </c>
      <c r="F21" s="13" t="s">
        <v>9</v>
      </c>
      <c r="G21" s="13"/>
    </row>
    <row r="22" ht="21" customHeight="1" spans="1:7">
      <c r="A22" s="12">
        <v>18</v>
      </c>
      <c r="B22" s="13">
        <v>939</v>
      </c>
      <c r="C22" s="12">
        <v>2</v>
      </c>
      <c r="D22" s="12">
        <v>1</v>
      </c>
      <c r="E22" s="14">
        <f t="shared" si="0"/>
        <v>0.5</v>
      </c>
      <c r="F22" s="13" t="s">
        <v>9</v>
      </c>
      <c r="G22" s="13"/>
    </row>
    <row r="23" ht="21" customHeight="1" spans="1:7">
      <c r="A23" s="12">
        <v>19</v>
      </c>
      <c r="B23" s="13">
        <v>1010</v>
      </c>
      <c r="C23" s="12">
        <v>8</v>
      </c>
      <c r="D23" s="12">
        <v>8</v>
      </c>
      <c r="E23" s="14">
        <f t="shared" si="0"/>
        <v>1</v>
      </c>
      <c r="F23" s="13" t="s">
        <v>9</v>
      </c>
      <c r="G23" s="13"/>
    </row>
    <row r="24" ht="21" customHeight="1" spans="1:7">
      <c r="A24" s="12">
        <v>20</v>
      </c>
      <c r="B24" s="13">
        <v>1217</v>
      </c>
      <c r="C24" s="12">
        <v>7</v>
      </c>
      <c r="D24" s="12">
        <v>7</v>
      </c>
      <c r="E24" s="14">
        <f t="shared" si="0"/>
        <v>1</v>
      </c>
      <c r="F24" s="13" t="s">
        <v>9</v>
      </c>
      <c r="G24" s="13"/>
    </row>
    <row r="25" ht="21" customHeight="1" spans="1:7">
      <c r="A25" s="12">
        <v>21</v>
      </c>
      <c r="B25" s="13">
        <v>1247</v>
      </c>
      <c r="C25" s="12">
        <v>6</v>
      </c>
      <c r="D25" s="12">
        <v>4</v>
      </c>
      <c r="E25" s="14">
        <f t="shared" si="0"/>
        <v>0.666666666666667</v>
      </c>
      <c r="F25" s="13" t="s">
        <v>9</v>
      </c>
      <c r="G25" s="13"/>
    </row>
    <row r="26" ht="21" customHeight="1" spans="1:7">
      <c r="A26" s="12">
        <v>22</v>
      </c>
      <c r="B26" s="13">
        <v>1417</v>
      </c>
      <c r="C26" s="12">
        <v>6</v>
      </c>
      <c r="D26" s="12">
        <v>5</v>
      </c>
      <c r="E26" s="14">
        <f t="shared" si="0"/>
        <v>0.833333333333333</v>
      </c>
      <c r="F26" s="13" t="s">
        <v>9</v>
      </c>
      <c r="G26" s="13"/>
    </row>
    <row r="27" ht="21" customHeight="1" spans="1:7">
      <c r="A27" s="12">
        <v>23</v>
      </c>
      <c r="B27" s="13">
        <v>1433</v>
      </c>
      <c r="C27" s="12">
        <v>17</v>
      </c>
      <c r="D27" s="12">
        <v>14</v>
      </c>
      <c r="E27" s="14">
        <f t="shared" si="0"/>
        <v>0.823529411764706</v>
      </c>
      <c r="F27" s="13" t="s">
        <v>9</v>
      </c>
      <c r="G27" s="13"/>
    </row>
    <row r="28" ht="21" customHeight="1" spans="1:7">
      <c r="A28" s="12">
        <v>24</v>
      </c>
      <c r="B28" s="13">
        <v>1434</v>
      </c>
      <c r="C28" s="12">
        <v>8</v>
      </c>
      <c r="D28" s="12">
        <v>5</v>
      </c>
      <c r="E28" s="14">
        <f t="shared" si="0"/>
        <v>0.625</v>
      </c>
      <c r="F28" s="13" t="s">
        <v>9</v>
      </c>
      <c r="G28" s="13"/>
    </row>
    <row r="29" ht="21" customHeight="1" spans="1:7">
      <c r="A29" s="12">
        <v>25</v>
      </c>
      <c r="B29" s="13">
        <v>1528</v>
      </c>
      <c r="C29" s="12">
        <v>3</v>
      </c>
      <c r="D29" s="12">
        <v>3</v>
      </c>
      <c r="E29" s="14">
        <f t="shared" si="0"/>
        <v>1</v>
      </c>
      <c r="F29" s="13" t="s">
        <v>9</v>
      </c>
      <c r="G29" s="13"/>
    </row>
    <row r="30" ht="21" customHeight="1" spans="1:7">
      <c r="A30" s="12">
        <v>26</v>
      </c>
      <c r="B30" s="13">
        <v>1599</v>
      </c>
      <c r="C30" s="12">
        <v>16</v>
      </c>
      <c r="D30" s="12">
        <v>12</v>
      </c>
      <c r="E30" s="14">
        <f t="shared" si="0"/>
        <v>0.75</v>
      </c>
      <c r="F30" s="13" t="s">
        <v>9</v>
      </c>
      <c r="G30" s="13"/>
    </row>
    <row r="31" ht="21" customHeight="1" spans="1:7">
      <c r="A31" s="12">
        <v>27</v>
      </c>
      <c r="B31" s="13">
        <v>1612</v>
      </c>
      <c r="C31" s="12">
        <v>8</v>
      </c>
      <c r="D31" s="12">
        <v>8</v>
      </c>
      <c r="E31" s="14">
        <f t="shared" si="0"/>
        <v>1</v>
      </c>
      <c r="F31" s="13" t="s">
        <v>9</v>
      </c>
      <c r="G31" s="13"/>
    </row>
    <row r="32" ht="21" customHeight="1" spans="1:7">
      <c r="A32" s="12">
        <v>28</v>
      </c>
      <c r="B32" s="13">
        <v>1618</v>
      </c>
      <c r="C32" s="12">
        <v>14</v>
      </c>
      <c r="D32" s="12">
        <v>11</v>
      </c>
      <c r="E32" s="14">
        <f t="shared" si="0"/>
        <v>0.785714285714286</v>
      </c>
      <c r="F32" s="13" t="s">
        <v>9</v>
      </c>
      <c r="G32" s="13"/>
    </row>
    <row r="33" ht="21" customHeight="1" spans="1:7">
      <c r="A33" s="12">
        <v>29</v>
      </c>
      <c r="B33" s="13">
        <v>1627</v>
      </c>
      <c r="C33" s="12">
        <v>13</v>
      </c>
      <c r="D33" s="12">
        <v>8</v>
      </c>
      <c r="E33" s="14">
        <f t="shared" si="0"/>
        <v>0.615384615384615</v>
      </c>
      <c r="F33" s="13" t="s">
        <v>9</v>
      </c>
      <c r="G33" s="13"/>
    </row>
    <row r="34" ht="21" customHeight="1" spans="1:7">
      <c r="A34" s="12">
        <v>30</v>
      </c>
      <c r="B34" s="13">
        <v>1741</v>
      </c>
      <c r="C34" s="12">
        <v>12</v>
      </c>
      <c r="D34" s="12">
        <v>9</v>
      </c>
      <c r="E34" s="14">
        <f t="shared" si="0"/>
        <v>0.75</v>
      </c>
      <c r="F34" s="13" t="s">
        <v>9</v>
      </c>
      <c r="G34" s="13"/>
    </row>
    <row r="35" ht="21" customHeight="1" spans="1:7">
      <c r="A35" s="12">
        <v>31</v>
      </c>
      <c r="B35" s="13">
        <v>1789</v>
      </c>
      <c r="C35" s="12">
        <v>11</v>
      </c>
      <c r="D35" s="12">
        <v>8</v>
      </c>
      <c r="E35" s="14">
        <f t="shared" si="0"/>
        <v>0.727272727272727</v>
      </c>
      <c r="F35" s="13" t="s">
        <v>9</v>
      </c>
      <c r="G35" s="13"/>
    </row>
    <row r="36" ht="21" customHeight="1" spans="1:7">
      <c r="A36" s="12">
        <v>32</v>
      </c>
      <c r="B36" s="13">
        <v>2136</v>
      </c>
      <c r="C36" s="12">
        <v>8</v>
      </c>
      <c r="D36" s="12">
        <v>7</v>
      </c>
      <c r="E36" s="14">
        <f t="shared" si="0"/>
        <v>0.875</v>
      </c>
      <c r="F36" s="13" t="s">
        <v>9</v>
      </c>
      <c r="G36" s="13"/>
    </row>
    <row r="37" ht="21" customHeight="1" spans="1:7">
      <c r="A37" s="12">
        <v>33</v>
      </c>
      <c r="B37" s="13">
        <v>2268</v>
      </c>
      <c r="C37" s="12">
        <v>2</v>
      </c>
      <c r="D37" s="12">
        <v>2</v>
      </c>
      <c r="E37" s="14">
        <f t="shared" si="0"/>
        <v>1</v>
      </c>
      <c r="F37" s="13" t="s">
        <v>9</v>
      </c>
      <c r="G37" s="13"/>
    </row>
    <row r="38" ht="21" customHeight="1" spans="1:7">
      <c r="A38" s="12">
        <v>34</v>
      </c>
      <c r="B38" s="13">
        <v>2302</v>
      </c>
      <c r="C38" s="12">
        <v>23</v>
      </c>
      <c r="D38" s="12">
        <v>18</v>
      </c>
      <c r="E38" s="14">
        <f t="shared" si="0"/>
        <v>0.782608695652174</v>
      </c>
      <c r="F38" s="13" t="s">
        <v>9</v>
      </c>
      <c r="G38" s="13"/>
    </row>
    <row r="39" ht="21" customHeight="1" spans="1:7">
      <c r="A39" s="12">
        <v>35</v>
      </c>
      <c r="B39" s="13">
        <v>2332</v>
      </c>
      <c r="C39" s="12">
        <v>27</v>
      </c>
      <c r="D39" s="12">
        <v>22</v>
      </c>
      <c r="E39" s="14">
        <f t="shared" si="0"/>
        <v>0.814814814814815</v>
      </c>
      <c r="F39" s="13" t="s">
        <v>9</v>
      </c>
      <c r="G39" s="13"/>
    </row>
    <row r="40" ht="21" customHeight="1" spans="1:7">
      <c r="A40" s="12">
        <v>36</v>
      </c>
      <c r="B40" s="13">
        <v>2447</v>
      </c>
      <c r="C40" s="12">
        <v>5</v>
      </c>
      <c r="D40" s="12">
        <v>3</v>
      </c>
      <c r="E40" s="14">
        <f t="shared" si="0"/>
        <v>0.6</v>
      </c>
      <c r="F40" s="13" t="s">
        <v>9</v>
      </c>
      <c r="G40" s="13"/>
    </row>
    <row r="41" ht="21" customHeight="1" spans="1:7">
      <c r="A41" s="12">
        <v>37</v>
      </c>
      <c r="B41" s="13">
        <v>2476</v>
      </c>
      <c r="C41" s="12">
        <v>11</v>
      </c>
      <c r="D41" s="12">
        <v>7</v>
      </c>
      <c r="E41" s="14">
        <f t="shared" si="0"/>
        <v>0.636363636363636</v>
      </c>
      <c r="F41" s="13" t="s">
        <v>9</v>
      </c>
      <c r="G41" s="13"/>
    </row>
    <row r="42" ht="21" customHeight="1" spans="1:7">
      <c r="A42" s="12">
        <v>38</v>
      </c>
      <c r="B42" s="13">
        <v>2501</v>
      </c>
      <c r="C42" s="12">
        <v>33</v>
      </c>
      <c r="D42" s="12">
        <v>25</v>
      </c>
      <c r="E42" s="14">
        <f t="shared" si="0"/>
        <v>0.757575757575758</v>
      </c>
      <c r="F42" s="13" t="s">
        <v>9</v>
      </c>
      <c r="G42" s="13"/>
    </row>
    <row r="43" ht="21" customHeight="1" spans="1:7">
      <c r="A43" s="12">
        <v>39</v>
      </c>
      <c r="B43" s="13">
        <v>2586</v>
      </c>
      <c r="C43" s="12">
        <v>6</v>
      </c>
      <c r="D43" s="12">
        <v>6</v>
      </c>
      <c r="E43" s="14">
        <f t="shared" si="0"/>
        <v>1</v>
      </c>
      <c r="F43" s="13" t="s">
        <v>9</v>
      </c>
      <c r="G43" s="13"/>
    </row>
    <row r="44" ht="21" customHeight="1" spans="1:7">
      <c r="A44" s="12">
        <v>40</v>
      </c>
      <c r="B44" s="13">
        <v>2638</v>
      </c>
      <c r="C44" s="12">
        <v>10</v>
      </c>
      <c r="D44" s="12">
        <v>9</v>
      </c>
      <c r="E44" s="14">
        <f t="shared" si="0"/>
        <v>0.9</v>
      </c>
      <c r="F44" s="13" t="s">
        <v>9</v>
      </c>
      <c r="G44" s="13"/>
    </row>
    <row r="45" ht="21" customHeight="1" spans="1:7">
      <c r="A45" s="12">
        <v>41</v>
      </c>
      <c r="B45" s="13">
        <v>2712</v>
      </c>
      <c r="C45" s="12">
        <v>8</v>
      </c>
      <c r="D45" s="12">
        <v>7</v>
      </c>
      <c r="E45" s="14">
        <f t="shared" si="0"/>
        <v>0.875</v>
      </c>
      <c r="F45" s="13" t="s">
        <v>9</v>
      </c>
      <c r="G45" s="13"/>
    </row>
    <row r="46" ht="21" customHeight="1" spans="1:7">
      <c r="A46" s="12">
        <v>42</v>
      </c>
      <c r="B46" s="13">
        <v>2723</v>
      </c>
      <c r="C46" s="12">
        <v>9</v>
      </c>
      <c r="D46" s="12">
        <v>9</v>
      </c>
      <c r="E46" s="14">
        <f t="shared" si="0"/>
        <v>1</v>
      </c>
      <c r="F46" s="13" t="s">
        <v>9</v>
      </c>
      <c r="G46" s="13"/>
    </row>
    <row r="47" ht="21" customHeight="1" spans="1:7">
      <c r="A47" s="12">
        <v>43</v>
      </c>
      <c r="B47" s="13">
        <v>2789</v>
      </c>
      <c r="C47" s="12">
        <v>14</v>
      </c>
      <c r="D47" s="12">
        <v>9</v>
      </c>
      <c r="E47" s="14">
        <f t="shared" si="0"/>
        <v>0.642857142857143</v>
      </c>
      <c r="F47" s="13" t="s">
        <v>9</v>
      </c>
      <c r="G47" s="13"/>
    </row>
    <row r="48" ht="21" customHeight="1" spans="1:7">
      <c r="A48" s="12">
        <v>44</v>
      </c>
      <c r="B48" s="13">
        <v>2955</v>
      </c>
      <c r="C48" s="12">
        <v>12</v>
      </c>
      <c r="D48" s="12">
        <v>3</v>
      </c>
      <c r="E48" s="14">
        <f t="shared" si="0"/>
        <v>0.25</v>
      </c>
      <c r="F48" s="13" t="s">
        <v>9</v>
      </c>
      <c r="G48" s="13"/>
    </row>
    <row r="49" ht="21" customHeight="1" spans="1:7">
      <c r="A49" s="12">
        <v>45</v>
      </c>
      <c r="B49" s="13">
        <v>2961</v>
      </c>
      <c r="C49" s="12">
        <v>14</v>
      </c>
      <c r="D49" s="12">
        <v>5</v>
      </c>
      <c r="E49" s="14">
        <f t="shared" si="0"/>
        <v>0.357142857142857</v>
      </c>
      <c r="F49" s="13" t="s">
        <v>9</v>
      </c>
      <c r="G49" s="13"/>
    </row>
    <row r="50" ht="21" customHeight="1" spans="1:7">
      <c r="A50" s="12">
        <v>46</v>
      </c>
      <c r="B50" s="13">
        <v>2980</v>
      </c>
      <c r="C50" s="12">
        <v>13</v>
      </c>
      <c r="D50" s="12">
        <v>10</v>
      </c>
      <c r="E50" s="14">
        <f t="shared" si="0"/>
        <v>0.769230769230769</v>
      </c>
      <c r="F50" s="13" t="s">
        <v>9</v>
      </c>
      <c r="G50" s="13"/>
    </row>
    <row r="51" ht="21" customHeight="1" spans="1:7">
      <c r="A51" s="12">
        <v>47</v>
      </c>
      <c r="B51" s="13">
        <v>3034</v>
      </c>
      <c r="C51" s="12">
        <v>2</v>
      </c>
      <c r="D51" s="12">
        <v>2</v>
      </c>
      <c r="E51" s="14">
        <f t="shared" si="0"/>
        <v>1</v>
      </c>
      <c r="F51" s="13" t="s">
        <v>9</v>
      </c>
      <c r="G51" s="13"/>
    </row>
    <row r="52" ht="21" customHeight="1" spans="1:7">
      <c r="A52" s="12">
        <v>48</v>
      </c>
      <c r="B52" s="13">
        <v>3073</v>
      </c>
      <c r="C52" s="12">
        <v>47</v>
      </c>
      <c r="D52" s="12">
        <v>25</v>
      </c>
      <c r="E52" s="14">
        <f t="shared" si="0"/>
        <v>0.531914893617021</v>
      </c>
      <c r="F52" s="13" t="s">
        <v>9</v>
      </c>
      <c r="G52" s="13"/>
    </row>
    <row r="53" ht="21" customHeight="1" spans="1:7">
      <c r="A53" s="12">
        <v>49</v>
      </c>
      <c r="B53" s="13">
        <v>3080</v>
      </c>
      <c r="C53" s="12">
        <v>9</v>
      </c>
      <c r="D53" s="12">
        <v>8</v>
      </c>
      <c r="E53" s="14">
        <f t="shared" si="0"/>
        <v>0.888888888888889</v>
      </c>
      <c r="F53" s="13" t="s">
        <v>9</v>
      </c>
      <c r="G53" s="13"/>
    </row>
    <row r="54" ht="21" customHeight="1" spans="1:7">
      <c r="A54" s="12">
        <v>50</v>
      </c>
      <c r="B54" s="13">
        <v>3478</v>
      </c>
      <c r="C54" s="12">
        <v>3</v>
      </c>
      <c r="D54" s="12">
        <v>2</v>
      </c>
      <c r="E54" s="14">
        <f t="shared" si="0"/>
        <v>0.666666666666667</v>
      </c>
      <c r="F54" s="13" t="s">
        <v>9</v>
      </c>
      <c r="G54" s="13"/>
    </row>
    <row r="55" ht="21" customHeight="1" spans="1:7">
      <c r="A55" s="12">
        <v>51</v>
      </c>
      <c r="B55" s="13">
        <v>3493</v>
      </c>
      <c r="C55" s="12">
        <v>35</v>
      </c>
      <c r="D55" s="12">
        <v>7</v>
      </c>
      <c r="E55" s="14">
        <f t="shared" si="0"/>
        <v>0.2</v>
      </c>
      <c r="F55" s="13" t="s">
        <v>9</v>
      </c>
      <c r="G55" s="13"/>
    </row>
    <row r="56" ht="21" customHeight="1" spans="1:7">
      <c r="A56" s="12">
        <v>52</v>
      </c>
      <c r="B56" s="13">
        <v>3964</v>
      </c>
      <c r="C56" s="12">
        <v>11</v>
      </c>
      <c r="D56" s="12">
        <v>8</v>
      </c>
      <c r="E56" s="14">
        <f t="shared" si="0"/>
        <v>0.727272727272727</v>
      </c>
      <c r="F56" s="13" t="s">
        <v>9</v>
      </c>
      <c r="G56" s="13"/>
    </row>
    <row r="57" ht="21" customHeight="1" spans="1:7">
      <c r="A57" s="12">
        <v>53</v>
      </c>
      <c r="B57" s="13">
        <v>4006</v>
      </c>
      <c r="C57" s="12">
        <v>6</v>
      </c>
      <c r="D57" s="12">
        <v>6</v>
      </c>
      <c r="E57" s="14">
        <f t="shared" si="0"/>
        <v>1</v>
      </c>
      <c r="F57" s="13" t="s">
        <v>9</v>
      </c>
      <c r="G57" s="13"/>
    </row>
    <row r="58" ht="21" customHeight="1" spans="1:7">
      <c r="A58" s="12">
        <v>54</v>
      </c>
      <c r="B58" s="13">
        <v>4098</v>
      </c>
      <c r="C58" s="12">
        <v>7</v>
      </c>
      <c r="D58" s="12">
        <v>5</v>
      </c>
      <c r="E58" s="14">
        <f t="shared" si="0"/>
        <v>0.714285714285714</v>
      </c>
      <c r="F58" s="13" t="s">
        <v>9</v>
      </c>
      <c r="G58" s="13"/>
    </row>
    <row r="59" ht="21" customHeight="1" spans="1:7">
      <c r="A59" s="12">
        <v>55</v>
      </c>
      <c r="B59" s="13">
        <v>4105</v>
      </c>
      <c r="C59" s="12">
        <v>4</v>
      </c>
      <c r="D59" s="12">
        <v>2</v>
      </c>
      <c r="E59" s="14">
        <f t="shared" si="0"/>
        <v>0.5</v>
      </c>
      <c r="F59" s="13" t="s">
        <v>9</v>
      </c>
      <c r="G59" s="13"/>
    </row>
    <row r="60" ht="21" customHeight="1" spans="1:7">
      <c r="A60" s="12">
        <v>56</v>
      </c>
      <c r="B60" s="13">
        <v>4182</v>
      </c>
      <c r="C60" s="12">
        <v>23</v>
      </c>
      <c r="D60" s="12">
        <v>21</v>
      </c>
      <c r="E60" s="14">
        <f t="shared" si="0"/>
        <v>0.91304347826087</v>
      </c>
      <c r="F60" s="13" t="s">
        <v>9</v>
      </c>
      <c r="G60" s="13"/>
    </row>
    <row r="61" ht="21" customHeight="1" spans="1:7">
      <c r="A61" s="12">
        <v>57</v>
      </c>
      <c r="B61" s="13">
        <v>4230</v>
      </c>
      <c r="C61" s="12">
        <v>3</v>
      </c>
      <c r="D61" s="12">
        <v>2</v>
      </c>
      <c r="E61" s="14">
        <f t="shared" si="0"/>
        <v>0.666666666666667</v>
      </c>
      <c r="F61" s="13" t="s">
        <v>9</v>
      </c>
      <c r="G61" s="13"/>
    </row>
    <row r="62" ht="21" customHeight="1" spans="1:7">
      <c r="A62" s="12">
        <v>58</v>
      </c>
      <c r="B62" s="13">
        <v>4296</v>
      </c>
      <c r="C62" s="12">
        <v>5</v>
      </c>
      <c r="D62" s="12">
        <v>4</v>
      </c>
      <c r="E62" s="14">
        <f t="shared" si="0"/>
        <v>0.8</v>
      </c>
      <c r="F62" s="13" t="s">
        <v>9</v>
      </c>
      <c r="G62" s="13"/>
    </row>
    <row r="63" ht="21" customHeight="1" spans="1:7">
      <c r="A63" s="12">
        <v>59</v>
      </c>
      <c r="B63" s="13">
        <v>4298</v>
      </c>
      <c r="C63" s="12">
        <v>11</v>
      </c>
      <c r="D63" s="12">
        <v>7</v>
      </c>
      <c r="E63" s="14">
        <f t="shared" si="0"/>
        <v>0.636363636363636</v>
      </c>
      <c r="F63" s="13" t="s">
        <v>9</v>
      </c>
      <c r="G63" s="13"/>
    </row>
    <row r="64" ht="21" customHeight="1" spans="1:7">
      <c r="A64" s="12">
        <v>60</v>
      </c>
      <c r="B64" s="13">
        <v>4322</v>
      </c>
      <c r="C64" s="12">
        <v>12</v>
      </c>
      <c r="D64" s="12">
        <v>9</v>
      </c>
      <c r="E64" s="14">
        <f t="shared" si="0"/>
        <v>0.75</v>
      </c>
      <c r="F64" s="13" t="s">
        <v>9</v>
      </c>
      <c r="G64" s="13"/>
    </row>
    <row r="65" ht="21" customHeight="1" spans="1:7">
      <c r="A65" s="12">
        <v>61</v>
      </c>
      <c r="B65" s="13">
        <v>4342</v>
      </c>
      <c r="C65" s="12">
        <v>13</v>
      </c>
      <c r="D65" s="12">
        <v>7</v>
      </c>
      <c r="E65" s="14">
        <f t="shared" si="0"/>
        <v>0.538461538461538</v>
      </c>
      <c r="F65" s="13" t="s">
        <v>9</v>
      </c>
      <c r="G65" s="13"/>
    </row>
    <row r="66" ht="21" customHeight="1" spans="1:7">
      <c r="A66" s="12">
        <v>62</v>
      </c>
      <c r="B66" s="13">
        <v>4514</v>
      </c>
      <c r="C66" s="12">
        <v>3</v>
      </c>
      <c r="D66" s="12">
        <v>2</v>
      </c>
      <c r="E66" s="14">
        <f t="shared" si="0"/>
        <v>0.666666666666667</v>
      </c>
      <c r="F66" s="13" t="s">
        <v>9</v>
      </c>
      <c r="G66" s="13"/>
    </row>
    <row r="67" ht="21" customHeight="1" spans="1:7">
      <c r="A67" s="12">
        <v>63</v>
      </c>
      <c r="B67" s="13">
        <v>4671</v>
      </c>
      <c r="C67" s="12">
        <v>6</v>
      </c>
      <c r="D67" s="12">
        <v>4</v>
      </c>
      <c r="E67" s="14">
        <f t="shared" si="0"/>
        <v>0.666666666666667</v>
      </c>
      <c r="F67" s="13" t="s">
        <v>9</v>
      </c>
      <c r="G67" s="13"/>
    </row>
    <row r="68" ht="21" customHeight="1" spans="1:7">
      <c r="A68" s="12">
        <v>64</v>
      </c>
      <c r="B68" s="13">
        <v>4725</v>
      </c>
      <c r="C68" s="12">
        <v>13</v>
      </c>
      <c r="D68" s="12">
        <v>8</v>
      </c>
      <c r="E68" s="14">
        <f t="shared" si="0"/>
        <v>0.615384615384615</v>
      </c>
      <c r="F68" s="13" t="s">
        <v>9</v>
      </c>
      <c r="G68" s="13"/>
    </row>
    <row r="69" ht="21" customHeight="1" spans="1:7">
      <c r="A69" s="12">
        <v>65</v>
      </c>
      <c r="B69" s="13">
        <v>4746</v>
      </c>
      <c r="C69" s="12">
        <v>16</v>
      </c>
      <c r="D69" s="12">
        <v>9</v>
      </c>
      <c r="E69" s="14">
        <f t="shared" ref="E69:E104" si="1">IF(OR(C69="",D69=""),"",IF(C69=0,"",D69/C69))</f>
        <v>0.5625</v>
      </c>
      <c r="F69" s="13" t="s">
        <v>9</v>
      </c>
      <c r="G69" s="13"/>
    </row>
    <row r="70" ht="21" customHeight="1" spans="1:7">
      <c r="A70" s="12">
        <v>66</v>
      </c>
      <c r="B70" s="13">
        <v>4768</v>
      </c>
      <c r="C70" s="12">
        <v>6</v>
      </c>
      <c r="D70" s="12">
        <v>6</v>
      </c>
      <c r="E70" s="14">
        <f t="shared" si="1"/>
        <v>1</v>
      </c>
      <c r="F70" s="13" t="s">
        <v>9</v>
      </c>
      <c r="G70" s="13"/>
    </row>
    <row r="71" ht="21" customHeight="1" spans="1:7">
      <c r="A71" s="12">
        <v>67</v>
      </c>
      <c r="B71" s="13">
        <v>4823</v>
      </c>
      <c r="C71" s="12">
        <v>5</v>
      </c>
      <c r="D71" s="12">
        <v>5</v>
      </c>
      <c r="E71" s="14">
        <f t="shared" si="1"/>
        <v>1</v>
      </c>
      <c r="F71" s="13" t="s">
        <v>9</v>
      </c>
      <c r="G71" s="13"/>
    </row>
    <row r="72" ht="21" customHeight="1" spans="1:7">
      <c r="A72" s="12">
        <v>68</v>
      </c>
      <c r="B72" s="13">
        <v>4959</v>
      </c>
      <c r="C72" s="12">
        <v>4</v>
      </c>
      <c r="D72" s="12">
        <v>4</v>
      </c>
      <c r="E72" s="14">
        <f t="shared" si="1"/>
        <v>1</v>
      </c>
      <c r="F72" s="13" t="s">
        <v>9</v>
      </c>
      <c r="G72" s="13"/>
    </row>
    <row r="73" ht="21" customHeight="1" spans="1:7">
      <c r="A73" s="12">
        <v>69</v>
      </c>
      <c r="B73" s="13">
        <v>4991</v>
      </c>
      <c r="C73" s="12">
        <v>6</v>
      </c>
      <c r="D73" s="12">
        <v>5</v>
      </c>
      <c r="E73" s="14">
        <f t="shared" si="1"/>
        <v>0.833333333333333</v>
      </c>
      <c r="F73" s="13" t="s">
        <v>9</v>
      </c>
      <c r="G73" s="13"/>
    </row>
    <row r="74" ht="21" customHeight="1" spans="1:7">
      <c r="A74" s="12">
        <v>70</v>
      </c>
      <c r="B74" s="13">
        <v>5010</v>
      </c>
      <c r="C74" s="12">
        <v>8</v>
      </c>
      <c r="D74" s="12">
        <v>7</v>
      </c>
      <c r="E74" s="14">
        <f t="shared" si="1"/>
        <v>0.875</v>
      </c>
      <c r="F74" s="13" t="s">
        <v>9</v>
      </c>
      <c r="G74" s="13"/>
    </row>
    <row r="75" ht="21" customHeight="1" spans="1:7">
      <c r="A75" s="12">
        <v>71</v>
      </c>
      <c r="B75" s="13">
        <v>5106</v>
      </c>
      <c r="C75" s="12">
        <v>4</v>
      </c>
      <c r="D75" s="12">
        <v>4</v>
      </c>
      <c r="E75" s="14">
        <f t="shared" si="1"/>
        <v>1</v>
      </c>
      <c r="F75" s="13" t="s">
        <v>9</v>
      </c>
      <c r="G75" s="13"/>
    </row>
    <row r="76" ht="21" customHeight="1" spans="1:7">
      <c r="A76" s="12">
        <v>72</v>
      </c>
      <c r="B76" s="13">
        <v>5203</v>
      </c>
      <c r="C76" s="12">
        <v>3</v>
      </c>
      <c r="D76" s="12">
        <v>1</v>
      </c>
      <c r="E76" s="14">
        <f t="shared" si="1"/>
        <v>0.333333333333333</v>
      </c>
      <c r="F76" s="13" t="s">
        <v>9</v>
      </c>
      <c r="G76" s="13"/>
    </row>
    <row r="77" ht="21" customHeight="1" spans="1:7">
      <c r="A77" s="12">
        <v>73</v>
      </c>
      <c r="B77" s="13">
        <v>5204</v>
      </c>
      <c r="C77" s="12">
        <v>4</v>
      </c>
      <c r="D77" s="12">
        <v>3</v>
      </c>
      <c r="E77" s="14">
        <f t="shared" si="1"/>
        <v>0.75</v>
      </c>
      <c r="F77" s="13" t="s">
        <v>9</v>
      </c>
      <c r="G77" s="13"/>
    </row>
    <row r="78" ht="21" customHeight="1" spans="1:7">
      <c r="A78" s="12">
        <v>74</v>
      </c>
      <c r="B78" s="13">
        <v>5477</v>
      </c>
      <c r="C78" s="12">
        <v>18</v>
      </c>
      <c r="D78" s="12">
        <v>5</v>
      </c>
      <c r="E78" s="14">
        <f t="shared" si="1"/>
        <v>0.277777777777778</v>
      </c>
      <c r="F78" s="13" t="s">
        <v>9</v>
      </c>
      <c r="G78" s="13"/>
    </row>
    <row r="79" ht="21" customHeight="1" spans="1:7">
      <c r="A79" s="12">
        <v>75</v>
      </c>
      <c r="B79" s="13">
        <v>5615</v>
      </c>
      <c r="C79" s="12">
        <v>10</v>
      </c>
      <c r="D79" s="12">
        <v>8</v>
      </c>
      <c r="E79" s="14">
        <f t="shared" si="1"/>
        <v>0.8</v>
      </c>
      <c r="F79" s="13" t="s">
        <v>9</v>
      </c>
      <c r="G79" s="13"/>
    </row>
    <row r="80" ht="21" customHeight="1" spans="1:7">
      <c r="A80" s="12">
        <v>76</v>
      </c>
      <c r="B80" s="13">
        <v>5667</v>
      </c>
      <c r="C80" s="12">
        <v>36</v>
      </c>
      <c r="D80" s="12">
        <v>18</v>
      </c>
      <c r="E80" s="14">
        <f t="shared" si="1"/>
        <v>0.5</v>
      </c>
      <c r="F80" s="13" t="s">
        <v>9</v>
      </c>
      <c r="G80" s="13"/>
    </row>
    <row r="81" ht="21" customHeight="1" spans="1:7">
      <c r="A81" s="12">
        <v>77</v>
      </c>
      <c r="B81" s="13">
        <v>5697</v>
      </c>
      <c r="C81" s="12">
        <v>8</v>
      </c>
      <c r="D81" s="12">
        <v>7</v>
      </c>
      <c r="E81" s="14">
        <f t="shared" si="1"/>
        <v>0.875</v>
      </c>
      <c r="F81" s="13" t="s">
        <v>9</v>
      </c>
      <c r="G81" s="13"/>
    </row>
    <row r="82" ht="21" customHeight="1" spans="1:7">
      <c r="A82" s="12">
        <v>78</v>
      </c>
      <c r="B82" s="13">
        <v>5746</v>
      </c>
      <c r="C82" s="12">
        <v>8</v>
      </c>
      <c r="D82" s="12">
        <v>4</v>
      </c>
      <c r="E82" s="14">
        <f t="shared" si="1"/>
        <v>0.5</v>
      </c>
      <c r="F82" s="13" t="s">
        <v>9</v>
      </c>
      <c r="G82" s="13"/>
    </row>
    <row r="83" ht="21" customHeight="1" spans="1:7">
      <c r="A83" s="12">
        <v>79</v>
      </c>
      <c r="B83" s="13">
        <v>6028</v>
      </c>
      <c r="C83" s="12">
        <v>13</v>
      </c>
      <c r="D83" s="12">
        <v>5</v>
      </c>
      <c r="E83" s="14">
        <f t="shared" si="1"/>
        <v>0.384615384615385</v>
      </c>
      <c r="F83" s="13" t="s">
        <v>9</v>
      </c>
      <c r="G83" s="13"/>
    </row>
    <row r="84" ht="21" customHeight="1" spans="1:7">
      <c r="A84" s="12">
        <v>80</v>
      </c>
      <c r="B84" s="13">
        <v>6105</v>
      </c>
      <c r="C84" s="12">
        <v>13</v>
      </c>
      <c r="D84" s="12">
        <v>8</v>
      </c>
      <c r="E84" s="14">
        <f t="shared" si="1"/>
        <v>0.615384615384615</v>
      </c>
      <c r="F84" s="13" t="s">
        <v>9</v>
      </c>
      <c r="G84" s="13"/>
    </row>
    <row r="85" ht="21" customHeight="1" spans="1:7">
      <c r="A85" s="12">
        <v>81</v>
      </c>
      <c r="B85" s="13">
        <v>6167</v>
      </c>
      <c r="C85" s="12">
        <v>19</v>
      </c>
      <c r="D85" s="12">
        <v>17</v>
      </c>
      <c r="E85" s="14">
        <f t="shared" si="1"/>
        <v>0.894736842105263</v>
      </c>
      <c r="F85" s="13" t="s">
        <v>9</v>
      </c>
      <c r="G85" s="13"/>
    </row>
    <row r="86" ht="21" customHeight="1" spans="1:7">
      <c r="A86" s="12">
        <v>82</v>
      </c>
      <c r="B86" s="13">
        <v>6206</v>
      </c>
      <c r="C86" s="12">
        <v>4</v>
      </c>
      <c r="D86" s="12">
        <v>4</v>
      </c>
      <c r="E86" s="14">
        <f t="shared" si="1"/>
        <v>1</v>
      </c>
      <c r="F86" s="13" t="s">
        <v>9</v>
      </c>
      <c r="G86" s="13"/>
    </row>
    <row r="87" ht="21" customHeight="1" spans="1:7">
      <c r="A87" s="12">
        <v>83</v>
      </c>
      <c r="B87" s="13">
        <v>6295</v>
      </c>
      <c r="C87" s="12">
        <v>8</v>
      </c>
      <c r="D87" s="12">
        <v>7</v>
      </c>
      <c r="E87" s="14">
        <f t="shared" si="1"/>
        <v>0.875</v>
      </c>
      <c r="F87" s="13" t="s">
        <v>9</v>
      </c>
      <c r="G87" s="13"/>
    </row>
    <row r="88" ht="21" customHeight="1" spans="1:7">
      <c r="A88" s="12">
        <v>84</v>
      </c>
      <c r="B88" s="13">
        <v>6429</v>
      </c>
      <c r="C88" s="12">
        <v>5</v>
      </c>
      <c r="D88" s="12">
        <v>5</v>
      </c>
      <c r="E88" s="14">
        <f t="shared" si="1"/>
        <v>1</v>
      </c>
      <c r="F88" s="13" t="s">
        <v>9</v>
      </c>
      <c r="G88" s="13"/>
    </row>
    <row r="89" ht="21" customHeight="1" spans="1:7">
      <c r="A89" s="12">
        <v>85</v>
      </c>
      <c r="B89" s="13">
        <v>6462</v>
      </c>
      <c r="C89" s="12">
        <v>15</v>
      </c>
      <c r="D89" s="12">
        <v>10</v>
      </c>
      <c r="E89" s="14">
        <f t="shared" si="1"/>
        <v>0.666666666666667</v>
      </c>
      <c r="F89" s="13" t="s">
        <v>9</v>
      </c>
      <c r="G89" s="13"/>
    </row>
    <row r="90" ht="21" customHeight="1" spans="1:7">
      <c r="A90" s="12">
        <v>86</v>
      </c>
      <c r="B90" s="13">
        <v>6500</v>
      </c>
      <c r="C90" s="12">
        <v>6</v>
      </c>
      <c r="D90" s="12">
        <v>4</v>
      </c>
      <c r="E90" s="14">
        <f t="shared" si="1"/>
        <v>0.666666666666667</v>
      </c>
      <c r="F90" s="13" t="s">
        <v>9</v>
      </c>
      <c r="G90" s="13"/>
    </row>
    <row r="91" ht="21" customHeight="1" spans="1:7">
      <c r="A91" s="12">
        <v>87</v>
      </c>
      <c r="B91" s="13">
        <v>6533</v>
      </c>
      <c r="C91" s="12">
        <v>12</v>
      </c>
      <c r="D91" s="12">
        <v>5</v>
      </c>
      <c r="E91" s="14">
        <f t="shared" si="1"/>
        <v>0.416666666666667</v>
      </c>
      <c r="F91" s="13" t="s">
        <v>9</v>
      </c>
      <c r="G91" s="13"/>
    </row>
    <row r="92" ht="21" customHeight="1" spans="1:7">
      <c r="A92" s="12">
        <v>88</v>
      </c>
      <c r="B92" s="13">
        <v>6583</v>
      </c>
      <c r="C92" s="12">
        <v>2</v>
      </c>
      <c r="D92" s="12">
        <v>2</v>
      </c>
      <c r="E92" s="14">
        <f t="shared" si="1"/>
        <v>1</v>
      </c>
      <c r="F92" s="13" t="s">
        <v>9</v>
      </c>
      <c r="G92" s="13"/>
    </row>
    <row r="93" ht="21" customHeight="1" spans="1:7">
      <c r="A93" s="12">
        <v>89</v>
      </c>
      <c r="B93" s="13">
        <v>6802</v>
      </c>
      <c r="C93" s="12">
        <v>4</v>
      </c>
      <c r="D93" s="12">
        <v>2</v>
      </c>
      <c r="E93" s="14">
        <f t="shared" si="1"/>
        <v>0.5</v>
      </c>
      <c r="F93" s="13" t="s">
        <v>9</v>
      </c>
      <c r="G93" s="13"/>
    </row>
    <row r="94" ht="21" customHeight="1" spans="1:7">
      <c r="A94" s="12">
        <v>90</v>
      </c>
      <c r="B94" s="13">
        <v>7066</v>
      </c>
      <c r="C94" s="12">
        <v>4</v>
      </c>
      <c r="D94" s="12">
        <v>4</v>
      </c>
      <c r="E94" s="14">
        <f t="shared" si="1"/>
        <v>1</v>
      </c>
      <c r="F94" s="13" t="s">
        <v>9</v>
      </c>
      <c r="G94" s="13"/>
    </row>
    <row r="95" ht="21" customHeight="1" spans="1:7">
      <c r="A95" s="12">
        <v>91</v>
      </c>
      <c r="B95" s="13">
        <v>7067</v>
      </c>
      <c r="C95" s="12">
        <v>5</v>
      </c>
      <c r="D95" s="12">
        <v>3</v>
      </c>
      <c r="E95" s="14">
        <f t="shared" si="1"/>
        <v>0.6</v>
      </c>
      <c r="F95" s="13" t="s">
        <v>9</v>
      </c>
      <c r="G95" s="13"/>
    </row>
    <row r="96" ht="21" customHeight="1" spans="1:7">
      <c r="A96" s="12">
        <v>92</v>
      </c>
      <c r="B96" s="13">
        <v>7191</v>
      </c>
      <c r="C96" s="12">
        <v>10</v>
      </c>
      <c r="D96" s="12">
        <v>8</v>
      </c>
      <c r="E96" s="14">
        <f t="shared" si="1"/>
        <v>0.8</v>
      </c>
      <c r="F96" s="13" t="s">
        <v>9</v>
      </c>
      <c r="G96" s="13"/>
    </row>
    <row r="97" ht="21" customHeight="1" spans="1:7">
      <c r="A97" s="12">
        <v>93</v>
      </c>
      <c r="B97" s="13">
        <v>7269</v>
      </c>
      <c r="C97" s="12">
        <v>9</v>
      </c>
      <c r="D97" s="12">
        <v>6</v>
      </c>
      <c r="E97" s="14">
        <f t="shared" si="1"/>
        <v>0.666666666666667</v>
      </c>
      <c r="F97" s="13" t="s">
        <v>9</v>
      </c>
      <c r="G97" s="13"/>
    </row>
    <row r="98" ht="21" customHeight="1" spans="1:7">
      <c r="A98" s="12">
        <v>94</v>
      </c>
      <c r="B98" s="13">
        <v>7496</v>
      </c>
      <c r="C98" s="12">
        <v>9</v>
      </c>
      <c r="D98" s="12">
        <v>8</v>
      </c>
      <c r="E98" s="14">
        <f t="shared" si="1"/>
        <v>0.888888888888889</v>
      </c>
      <c r="F98" s="13" t="s">
        <v>9</v>
      </c>
      <c r="G98" s="13"/>
    </row>
    <row r="99" ht="21" customHeight="1" spans="1:7">
      <c r="A99" s="12">
        <v>95</v>
      </c>
      <c r="B99" s="13">
        <v>7561</v>
      </c>
      <c r="C99" s="12">
        <v>40</v>
      </c>
      <c r="D99" s="12">
        <v>22</v>
      </c>
      <c r="E99" s="14">
        <f t="shared" si="1"/>
        <v>0.55</v>
      </c>
      <c r="F99" s="13" t="s">
        <v>9</v>
      </c>
      <c r="G99" s="13"/>
    </row>
    <row r="100" ht="21" customHeight="1" spans="1:7">
      <c r="A100" s="12">
        <v>96</v>
      </c>
      <c r="B100" s="13">
        <v>7656</v>
      </c>
      <c r="C100" s="12">
        <v>8</v>
      </c>
      <c r="D100" s="12">
        <v>8</v>
      </c>
      <c r="E100" s="14">
        <f t="shared" si="1"/>
        <v>1</v>
      </c>
      <c r="F100" s="13" t="s">
        <v>9</v>
      </c>
      <c r="G100" s="13"/>
    </row>
    <row r="101" ht="21" customHeight="1" spans="1:7">
      <c r="A101" s="12">
        <v>97</v>
      </c>
      <c r="B101" s="13">
        <v>7719</v>
      </c>
      <c r="C101" s="12">
        <v>6</v>
      </c>
      <c r="D101" s="12">
        <v>5</v>
      </c>
      <c r="E101" s="14">
        <f t="shared" si="1"/>
        <v>0.833333333333333</v>
      </c>
      <c r="F101" s="13" t="s">
        <v>9</v>
      </c>
      <c r="G101" s="13"/>
    </row>
    <row r="102" ht="21" customHeight="1" spans="1:7">
      <c r="A102" s="12">
        <v>98</v>
      </c>
      <c r="B102" s="13">
        <v>7751</v>
      </c>
      <c r="C102" s="12">
        <v>6</v>
      </c>
      <c r="D102" s="12">
        <v>5</v>
      </c>
      <c r="E102" s="14">
        <f t="shared" si="1"/>
        <v>0.833333333333333</v>
      </c>
      <c r="F102" s="13" t="s">
        <v>9</v>
      </c>
      <c r="G102" s="13"/>
    </row>
    <row r="103" ht="21" customHeight="1" spans="1:7">
      <c r="A103" s="12">
        <v>99</v>
      </c>
      <c r="B103" s="13">
        <v>7985</v>
      </c>
      <c r="C103" s="12">
        <v>25</v>
      </c>
      <c r="D103" s="12">
        <v>21</v>
      </c>
      <c r="E103" s="14">
        <f t="shared" si="1"/>
        <v>0.84</v>
      </c>
      <c r="F103" s="13" t="s">
        <v>9</v>
      </c>
      <c r="G103" s="13"/>
    </row>
    <row r="104" ht="21" customHeight="1" spans="1:7">
      <c r="A104" s="12">
        <v>100</v>
      </c>
      <c r="B104" s="13">
        <v>8013</v>
      </c>
      <c r="C104" s="12">
        <v>11</v>
      </c>
      <c r="D104" s="12">
        <v>8</v>
      </c>
      <c r="E104" s="14">
        <f t="shared" si="1"/>
        <v>0.727272727272727</v>
      </c>
      <c r="F104" s="13" t="s">
        <v>9</v>
      </c>
      <c r="G104" s="13"/>
    </row>
  </sheetData>
  <mergeCells count="2">
    <mergeCell ref="A1:G1"/>
    <mergeCell ref="A2:G2"/>
  </mergeCells>
  <conditionalFormatting sqref="E5:E104"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{be74988b-9260-4354-a2b4-67ddba0cbde8}</x14:id>
        </ext>
      </extLst>
    </cfRule>
  </conditionalFormatting>
  <conditionalFormatting sqref="F5:F104">
    <cfRule type="expression" dxfId="0" priority="1">
      <formula>F5="已完成"</formula>
    </cfRule>
    <cfRule type="expression" dxfId="1" priority="2">
      <formula>F5="需复核"</formula>
    </cfRule>
    <cfRule type="expression" dxfId="2" priority="3">
      <formula>F5="未统计"</formula>
    </cfRule>
  </conditionalFormatting>
  <dataValidations count="1">
    <dataValidation type="list" sqref="F5:F104">
      <formula1>"未统计,已完成,需复核"</formula1>
    </dataValidation>
  </dataValidations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74988b-9260-4354-a2b4-67ddba0cbde8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E5:E104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1" sqref="A1:F1"/>
    </sheetView>
  </sheetViews>
  <sheetFormatPr defaultColWidth="9" defaultRowHeight="14" outlineLevelCol="5"/>
  <cols>
    <col min="1" max="1" width="22" customWidth="1"/>
    <col min="2" max="2" width="18" customWidth="1"/>
    <col min="3" max="3" width="24" customWidth="1"/>
    <col min="4" max="4" width="48" customWidth="1"/>
  </cols>
  <sheetData>
    <row r="1" ht="28" customHeight="1" spans="1:6">
      <c r="A1" s="4" t="s">
        <v>10</v>
      </c>
      <c r="B1" t="s">
        <v>10</v>
      </c>
      <c r="C1" t="s">
        <v>10</v>
      </c>
      <c r="D1" t="s">
        <v>10</v>
      </c>
      <c r="E1" t="s">
        <v>10</v>
      </c>
      <c r="F1" t="s">
        <v>10</v>
      </c>
    </row>
    <row r="3" ht="28" customHeight="1" spans="1:6">
      <c r="A3" s="5" t="s">
        <v>11</v>
      </c>
      <c r="B3" s="5" t="s">
        <v>12</v>
      </c>
      <c r="C3" s="5" t="s">
        <v>13</v>
      </c>
      <c r="D3" s="5" t="s">
        <v>14</v>
      </c>
      <c r="E3" t="s">
        <v>15</v>
      </c>
      <c r="F3" t="s">
        <v>15</v>
      </c>
    </row>
    <row r="4" ht="28" customHeight="1" spans="1:6">
      <c r="A4" s="2" t="s">
        <v>16</v>
      </c>
      <c r="B4" s="2">
        <f>COUNTIF(填数表!B5:B104,"?*")</f>
        <v>0</v>
      </c>
      <c r="C4" s="2" t="s">
        <v>17</v>
      </c>
      <c r="D4" s="2" t="s">
        <v>18</v>
      </c>
      <c r="E4" t="s">
        <v>15</v>
      </c>
      <c r="F4" t="s">
        <v>15</v>
      </c>
    </row>
    <row r="5" ht="28" customHeight="1" spans="1:6">
      <c r="A5" s="2" t="s">
        <v>19</v>
      </c>
      <c r="B5" s="2">
        <f>COUNTIF(填数表!F5:F104,"已完成")</f>
        <v>100</v>
      </c>
      <c r="C5" s="2" t="s">
        <v>17</v>
      </c>
      <c r="D5" s="2" t="s">
        <v>20</v>
      </c>
      <c r="E5" t="s">
        <v>15</v>
      </c>
      <c r="F5" t="s">
        <v>15</v>
      </c>
    </row>
    <row r="6" ht="28" customHeight="1" spans="1:6">
      <c r="A6" s="2" t="s">
        <v>21</v>
      </c>
      <c r="B6" s="2">
        <f>SUM(填数表!C5:C104)</f>
        <v>1298</v>
      </c>
      <c r="C6" s="2" t="s">
        <v>22</v>
      </c>
      <c r="D6" s="2" t="s">
        <v>23</v>
      </c>
      <c r="E6" t="s">
        <v>15</v>
      </c>
      <c r="F6" t="s">
        <v>15</v>
      </c>
    </row>
    <row r="7" ht="28" customHeight="1" spans="1:6">
      <c r="A7" s="2" t="s">
        <v>24</v>
      </c>
      <c r="B7" s="2">
        <f>SUM(填数表!D5:D104)</f>
        <v>935</v>
      </c>
      <c r="C7" s="2" t="s">
        <v>25</v>
      </c>
      <c r="D7" s="2" t="s">
        <v>26</v>
      </c>
      <c r="E7" t="s">
        <v>15</v>
      </c>
      <c r="F7" t="s">
        <v>15</v>
      </c>
    </row>
    <row r="8" ht="28" customHeight="1" spans="1:6">
      <c r="A8" s="2" t="s">
        <v>27</v>
      </c>
      <c r="B8" s="6">
        <f>IF(B6=0,"",B7/B6)</f>
        <v>0.720338983050847</v>
      </c>
      <c r="C8" s="2" t="s">
        <v>28</v>
      </c>
      <c r="D8" s="2" t="s">
        <v>29</v>
      </c>
      <c r="E8" t="s">
        <v>15</v>
      </c>
      <c r="F8" t="s">
        <v>15</v>
      </c>
    </row>
    <row r="9" ht="28" customHeight="1" spans="1:6">
      <c r="A9" s="2" t="s">
        <v>30</v>
      </c>
      <c r="B9" s="6">
        <f>IFERROR(AVERAGEIF(填数表!E5:E104,"&gt;=0",填数表!E5:E104),"")</f>
        <v>0.756266828287343</v>
      </c>
      <c r="C9" s="2" t="s">
        <v>31</v>
      </c>
      <c r="D9" s="2" t="s">
        <v>32</v>
      </c>
      <c r="E9" t="s">
        <v>15</v>
      </c>
      <c r="F9" t="s">
        <v>15</v>
      </c>
    </row>
    <row r="12" spans="1:6">
      <c r="A12" s="7" t="s">
        <v>33</v>
      </c>
      <c r="B12" t="s">
        <v>33</v>
      </c>
      <c r="C12" t="s">
        <v>33</v>
      </c>
      <c r="D12" t="s">
        <v>33</v>
      </c>
    </row>
    <row r="14" ht="26" customHeight="1" spans="1:6">
      <c r="A14" s="8" t="s">
        <v>34</v>
      </c>
      <c r="B14" s="8" t="s">
        <v>35</v>
      </c>
      <c r="C14" s="8" t="s">
        <v>36</v>
      </c>
      <c r="D14" s="8" t="s">
        <v>37</v>
      </c>
    </row>
    <row r="15" ht="26" customHeight="1" spans="1:6">
      <c r="A15" s="2" t="s">
        <v>38</v>
      </c>
      <c r="B15" s="2">
        <f>B6</f>
        <v>1298</v>
      </c>
      <c r="C15" s="2" t="s">
        <v>39</v>
      </c>
      <c r="D15" s="2" t="s">
        <v>40</v>
      </c>
    </row>
    <row r="16" ht="26" customHeight="1" spans="1:6">
      <c r="A16" s="2" t="s">
        <v>41</v>
      </c>
      <c r="B16" s="2">
        <f>B7</f>
        <v>935</v>
      </c>
      <c r="C16" s="2" t="s">
        <v>42</v>
      </c>
      <c r="D16" s="2" t="s">
        <v>43</v>
      </c>
    </row>
    <row r="17" ht="26" customHeight="1" spans="1:4">
      <c r="A17" s="2" t="s">
        <v>44</v>
      </c>
      <c r="B17" s="9">
        <f>IF(B8="","",ROUND(B8*100,1))</f>
        <v>72</v>
      </c>
      <c r="C17" s="2" t="s">
        <v>45</v>
      </c>
      <c r="D17" s="2" t="s">
        <v>46</v>
      </c>
    </row>
  </sheetData>
  <mergeCells count="2">
    <mergeCell ref="A1:F1"/>
    <mergeCell ref="A12:D1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"/>
    </sheetView>
  </sheetViews>
  <sheetFormatPr defaultColWidth="9" defaultRowHeight="14"/>
  <cols>
    <col min="1" max="1" width="98" customWidth="1"/>
  </cols>
  <sheetData>
    <row r="1" ht="28" customHeight="1" spans="1:1">
      <c r="A1" s="1" t="s">
        <v>47</v>
      </c>
    </row>
    <row r="2" ht="28" customHeight="1" spans="1:1">
      <c r="A2" s="2" t="s">
        <v>48</v>
      </c>
    </row>
    <row r="3" ht="28" customHeight="1" spans="1:1">
      <c r="A3" s="2" t="s">
        <v>49</v>
      </c>
    </row>
    <row r="4" ht="28" customHeight="1" spans="1:1">
      <c r="A4" s="2" t="s">
        <v>50</v>
      </c>
    </row>
    <row r="5" ht="28" customHeight="1" spans="1:1">
      <c r="A5" s="2" t="s">
        <v>51</v>
      </c>
    </row>
    <row r="6" ht="28" customHeight="1" spans="1:1">
      <c r="A6" s="2" t="s">
        <v>52</v>
      </c>
    </row>
    <row r="7" ht="28" customHeight="1" spans="1:1">
      <c r="A7" s="2" t="s">
        <v>15</v>
      </c>
    </row>
    <row r="8" ht="28" customHeight="1" spans="1:1">
      <c r="A8" s="3" t="s">
        <v>53</v>
      </c>
    </row>
    <row r="9" ht="28" customHeight="1" spans="1:1">
      <c r="A9" s="2" t="s">
        <v>54</v>
      </c>
    </row>
    <row r="10" ht="28" customHeight="1" spans="1:1">
      <c r="A10" s="2" t="s">
        <v>15</v>
      </c>
    </row>
    <row r="11" ht="28" customHeight="1" spans="1:1">
      <c r="A11" s="3" t="s">
        <v>55</v>
      </c>
    </row>
    <row r="12" ht="28" customHeight="1" spans="1:1">
      <c r="A12" s="2" t="s">
        <v>56</v>
      </c>
    </row>
    <row r="13" ht="28" customHeight="1" spans="1:1">
      <c r="A13" s="2" t="s">
        <v>57</v>
      </c>
    </row>
    <row r="14" ht="28" customHeight="1" spans="1:1">
      <c r="A14" s="2" t="s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填数表</vt:lpstr>
      <vt:lpstr>汇总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sky</cp:lastModifiedBy>
  <dcterms:created xsi:type="dcterms:W3CDTF">2026-05-13T03:13:00Z</dcterms:created>
  <dcterms:modified xsi:type="dcterms:W3CDTF">2026-05-13T04:52:21Z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0EFC990C456740B295B1510E8FB364CB_13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