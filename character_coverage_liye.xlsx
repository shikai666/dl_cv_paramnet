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1630"/>
  </bookViews>
  <sheets>
    <sheet name="填数表" sheetId="1" r:id="rId1"/>
    <sheet name="汇总" sheetId="2" r:id="rId2"/>
    <sheet name="说明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<sst xmlns="http://schemas.openxmlformats.org/spreadsheetml/2006/main" count="106" uniqueCount="84">
  <si>
    <t>Liye Qin 字符级定位人工统计表</t>
  </si>
  <si>
    <t>每一行对应 1 张评测竹简（slip）。M_i = 该竹简可见/标注字符总数；K_i = 其中被预测框命中的字符数。</t>
  </si>
  <si>
    <t>序号</t>
  </si>
  <si>
    <t>竹简编号 (slip_id)</t>
  </si>
  <si>
    <t>可见字符 M_i</t>
  </si>
  <si>
    <t>命中字数 K_i</t>
  </si>
  <si>
    <t>单张覆盖率</t>
  </si>
  <si>
    <t>状态</t>
  </si>
  <si>
    <t>备注 / 不确定情况</t>
  </si>
  <si>
    <t>p8_1</t>
  </si>
  <si>
    <t>已完成</t>
  </si>
  <si>
    <t>p9_1</t>
  </si>
  <si>
    <t>p9_2</t>
  </si>
  <si>
    <t>p10_1</t>
  </si>
  <si>
    <t>p18_3</t>
  </si>
  <si>
    <t>p22_7</t>
  </si>
  <si>
    <t>p31_1</t>
  </si>
  <si>
    <t>p44_1</t>
  </si>
  <si>
    <t>p49_2</t>
  </si>
  <si>
    <t>p50_4</t>
  </si>
  <si>
    <t>p52_1</t>
  </si>
  <si>
    <t>p52_3</t>
  </si>
  <si>
    <t>p53_1</t>
  </si>
  <si>
    <t>p53_2</t>
  </si>
  <si>
    <t>p54_1</t>
  </si>
  <si>
    <t>p55_2</t>
  </si>
  <si>
    <t>p60_1</t>
  </si>
  <si>
    <t>p71_2</t>
  </si>
  <si>
    <t>p78_8</t>
  </si>
  <si>
    <t>p80_10</t>
  </si>
  <si>
    <t>Liye Qin 字符级定位覆盖率汇总</t>
  </si>
  <si>
    <t>指标</t>
  </si>
  <si>
    <t>数值</t>
  </si>
  <si>
    <t>论文中替换位置</t>
  </si>
  <si>
    <t>含义 / 公式</t>
  </si>
  <si>
    <t>已填写竹简数</t>
  </si>
  <si>
    <t>仅检查用</t>
  </si>
  <si>
    <t>竹简编号不为空的行数</t>
  </si>
  <si>
    <t>已完成统计数</t>
  </si>
  <si>
    <t>状态为"已完成"的行数</t>
  </si>
  <si>
    <t>M_LY</t>
  </si>
  <si>
    <t>替换 [M\_LY]</t>
  </si>
  <si>
    <t>20 张 Liye 竹简的可见字符总数（预期=121）</t>
  </si>
  <si>
    <t>K_LY</t>
  </si>
  <si>
    <t>替换 [K\_LY]</t>
  </si>
  <si>
    <t>被预测框命中的字符总数（预期=99）</t>
  </si>
  <si>
    <t>PCT_LY</t>
  </si>
  <si>
    <t>替换 [PCT\_LY]</t>
  </si>
  <si>
    <t>K_LY / M_LY × 100（预期≈81.8%）</t>
  </si>
  <si>
    <t>可选：macro 平均</t>
  </si>
  <si>
    <t>仅作自查</t>
  </si>
  <si>
    <t>每张竹简覆盖率的算术平均</t>
  </si>
  <si>
    <t>填完后，把下面三个数替换进 LaTeX</t>
  </si>
  <si>
    <t>在 .tex 中查找</t>
  </si>
  <si>
    <t>替换成</t>
  </si>
  <si>
    <t>含义</t>
  </si>
  <si>
    <t>备注</t>
  </si>
  <si>
    <t>[M\_LY]</t>
  </si>
  <si>
    <t>可见字符总数</t>
  </si>
  <si>
    <t>用 B6 的整数</t>
  </si>
  <si>
    <t>[K\_LY]</t>
  </si>
  <si>
    <t>命中字符总数</t>
  </si>
  <si>
    <t>用 B7 的整数</t>
  </si>
  <si>
    <t>[PCT\_LY]</t>
  </si>
  <si>
    <t>覆盖率百分比</t>
  </si>
  <si>
    <t>用 B8×100，保留一位小数</t>
  </si>
  <si>
    <t>怎么数</t>
  </si>
  <si>
    <t>1. 打开每一张 Liye Qin 竹简的扫描图，以及对应的预测框可视化图（contour_guided_ink_mask.py 的输出叠加在原图上）。</t>
  </si>
  <si>
    <t>2. 数 M_i：这张竹简里总共有多少个可见/标注字符。Liye Qin 字符的可见性以肉眼能识别出大致字形为准，残缺过半的字符不计入 M_i。</t>
  </si>
  <si>
    <t>3. 数 K_i：这些字符里面，有多少个被预测框命中或覆盖到（任一预测框与该字符外接区域有重叠即算命中）。</t>
  </si>
  <si>
    <t>4. 把竹简编号、M_i、K_i 填进"填数表"，状态改成"已完成"。</t>
  </si>
  <si>
    <t>5. 这是 zero-shot probe，不是 OCR 评测，不需要识别字形对错。</t>
  </si>
  <si>
    <t/>
  </si>
  <si>
    <t>判断规则</t>
  </si>
  <si>
    <t>只要一个字符被预测框明显框到或覆盖到，就算命中。特别不确定的情况，状态选"需复核"，并在备注里写一下。</t>
  </si>
  <si>
    <t>最后论文要用的三个数</t>
  </si>
  <si>
    <t>M_LY = 所有 M_i 相加，即 20 张 Liye 竹简的可见字符总数（应等于 121）。</t>
  </si>
  <si>
    <t>K_LY = 所有 K_i 相加，即预测框命中的总字符数（应等于 99）。</t>
  </si>
  <si>
    <t>PCT_LY = K_LY / M_LY × 100，保留一位小数（应≈81.8%）。</t>
  </si>
  <si>
    <t>竹简筛选标准（在跑模型之前确定）</t>
  </si>
  <si>
    <t>1. 竹简扫描图完整，无大段物理破损导致一连串字符位置缺失。</t>
  </si>
  <si>
    <t>2. 至少 3 个字符肉眼可识别，使得单张覆盖率不被单字主导。</t>
  </si>
  <si>
    <t>3. 至少含以下基底退化模式之一：明显木纹、水渍、薄墨/部分褪色；以确保 probe 落在 DeepJiandu 中不常见的条件上。</t>
  </si>
  <si>
    <t>4. 筛选只看竹简物理状态，不看模型输出 —— 单张覆盖率不参与入选决策。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</si>
</sst>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</numFmts>
  <fonts count="24">
    <font>
      <sz val="11"/>
      <color theme="1"/>
      <name val="宋体"/>
      <charset val="134"/>
      <scheme val="minor"/>
    </font>
    <font>
      <b/>
      <sz val="12"/>
      <name val="宋体"/>
      <charset val="134"/>
      <scheme val="minor"/>
    </font>
    <font>
      <b/>
      <sz val="14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0" fillId="0" borderId="1" xfId="0" applyBorder="1"/>
    <xf numFmtId="176" fontId="0" fillId="0" borderId="1" xfId="0" applyNumberFormat="1" applyBorder="1"/>
    <xf numFmtId="0" fontId="3" fillId="0" borderId="0" xfId="0" applyFont="1"/>
    <xf numFmtId="0" fontId="3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"/>
  <sheetViews>
    <sheetView tabSelected="1" workbookViewId="0">
      <selection activeCell="A1" sqref="A1:G1"/>
    </sheetView>
  </sheetViews>
  <sheetFormatPr defaultColWidth="9" defaultRowHeight="14" outlineLevelCol="6"/>
  <cols>
    <col min="1" max="1" width="6" customWidth="1"/>
    <col min="2" max="2" width="22" customWidth="1"/>
    <col min="3" max="5" width="14" customWidth="1"/>
    <col min="6" max="6" width="12" customWidth="1"/>
    <col min="7" max="7" width="28" customWidth="1"/>
  </cols>
  <sheetData>
    <row r="1" ht="17.5" spans="1:7">
      <c r="A1" s="2" t="s">
        <v>0</v>
      </c>
    </row>
    <row r="2" spans="1:7">
      <c r="A2" t="s">
        <v>1</v>
      </c>
    </row>
    <row r="4" ht="32" customHeight="1" spans="1:7">
      <c r="A4" s="7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7" t="s">
        <v>8</v>
      </c>
    </row>
    <row r="5" spans="1:7">
      <c r="A5" s="4">
        <v>1</v>
      </c>
      <c r="B5" s="4" t="s">
        <v>9</v>
      </c>
      <c r="C5" s="4">
        <v>9</v>
      </c>
      <c r="D5" s="4">
        <v>8</v>
      </c>
      <c r="E5" s="5">
        <f t="shared" ref="E5:E24" si="0">IF(OR(C5="",D5=""),"",IF(C5=0,"",D5/C5))</f>
        <v>0.888888888888889</v>
      </c>
      <c r="F5" s="4" t="s">
        <v>10</v>
      </c>
      <c r="G5" s="4"/>
    </row>
    <row r="6" spans="1:7">
      <c r="A6" s="4">
        <v>2</v>
      </c>
      <c r="B6" s="4" t="s">
        <v>11</v>
      </c>
      <c r="C6" s="4">
        <v>4</v>
      </c>
      <c r="D6" s="4">
        <v>4</v>
      </c>
      <c r="E6" s="5">
        <f t="shared" si="0"/>
        <v>1</v>
      </c>
      <c r="F6" s="4" t="s">
        <v>10</v>
      </c>
      <c r="G6" s="4"/>
    </row>
    <row r="7" spans="1:7">
      <c r="A7" s="4">
        <v>3</v>
      </c>
      <c r="B7" s="4" t="s">
        <v>12</v>
      </c>
      <c r="C7" s="4">
        <v>4</v>
      </c>
      <c r="D7" s="4">
        <v>3</v>
      </c>
      <c r="E7" s="5">
        <f t="shared" si="0"/>
        <v>0.75</v>
      </c>
      <c r="F7" s="4" t="s">
        <v>10</v>
      </c>
      <c r="G7" s="4"/>
    </row>
    <row r="8" spans="1:7">
      <c r="A8" s="4">
        <v>4</v>
      </c>
      <c r="B8" s="4" t="s">
        <v>13</v>
      </c>
      <c r="C8" s="4">
        <v>11</v>
      </c>
      <c r="D8" s="4">
        <v>8</v>
      </c>
      <c r="E8" s="5">
        <f t="shared" si="0"/>
        <v>0.727272727272727</v>
      </c>
      <c r="F8" s="4" t="s">
        <v>10</v>
      </c>
      <c r="G8" s="4"/>
    </row>
    <row r="9" spans="1:7">
      <c r="A9" s="4">
        <v>5</v>
      </c>
      <c r="B9" s="4" t="s">
        <v>14</v>
      </c>
      <c r="C9" s="4">
        <v>5</v>
      </c>
      <c r="D9" s="4">
        <v>5</v>
      </c>
      <c r="E9" s="5">
        <f t="shared" si="0"/>
        <v>1</v>
      </c>
      <c r="F9" s="4" t="s">
        <v>10</v>
      </c>
      <c r="G9" s="4"/>
    </row>
    <row r="10" spans="1:7">
      <c r="A10" s="4">
        <v>6</v>
      </c>
      <c r="B10" s="4" t="s">
        <v>15</v>
      </c>
      <c r="C10" s="4">
        <v>5</v>
      </c>
      <c r="D10" s="4">
        <v>4</v>
      </c>
      <c r="E10" s="5">
        <f t="shared" si="0"/>
        <v>0.8</v>
      </c>
      <c r="F10" s="4" t="s">
        <v>10</v>
      </c>
      <c r="G10" s="4"/>
    </row>
    <row r="11" spans="1:7">
      <c r="A11" s="4">
        <v>7</v>
      </c>
      <c r="B11" s="4" t="s">
        <v>16</v>
      </c>
      <c r="C11" s="4">
        <v>7</v>
      </c>
      <c r="D11" s="4">
        <v>6</v>
      </c>
      <c r="E11" s="5">
        <f t="shared" si="0"/>
        <v>0.857142857142857</v>
      </c>
      <c r="F11" s="4" t="s">
        <v>10</v>
      </c>
      <c r="G11" s="4"/>
    </row>
    <row r="12" spans="1:7">
      <c r="A12" s="4">
        <v>8</v>
      </c>
      <c r="B12" s="4" t="s">
        <v>17</v>
      </c>
      <c r="C12" s="4">
        <v>3</v>
      </c>
      <c r="D12" s="4">
        <v>3</v>
      </c>
      <c r="E12" s="5">
        <f t="shared" si="0"/>
        <v>1</v>
      </c>
      <c r="F12" s="4" t="s">
        <v>10</v>
      </c>
      <c r="G12" s="4"/>
    </row>
    <row r="13" spans="1:7">
      <c r="A13" s="4">
        <v>9</v>
      </c>
      <c r="B13" s="4" t="s">
        <v>18</v>
      </c>
      <c r="C13" s="4">
        <v>10</v>
      </c>
      <c r="D13" s="4">
        <v>8</v>
      </c>
      <c r="E13" s="5">
        <f t="shared" si="0"/>
        <v>0.8</v>
      </c>
      <c r="F13" s="4" t="s">
        <v>10</v>
      </c>
      <c r="G13" s="4"/>
    </row>
    <row r="14" spans="1:7">
      <c r="A14" s="4">
        <v>10</v>
      </c>
      <c r="B14" s="4" t="s">
        <v>19</v>
      </c>
      <c r="C14" s="4">
        <v>14</v>
      </c>
      <c r="D14" s="4">
        <v>11</v>
      </c>
      <c r="E14" s="5">
        <f t="shared" si="0"/>
        <v>0.785714285714286</v>
      </c>
      <c r="F14" s="4" t="s">
        <v>10</v>
      </c>
      <c r="G14" s="4"/>
    </row>
    <row r="15" spans="1:7">
      <c r="A15" s="4">
        <v>11</v>
      </c>
      <c r="B15" s="4" t="s">
        <v>20</v>
      </c>
      <c r="C15" s="4">
        <v>6</v>
      </c>
      <c r="D15" s="4">
        <v>5</v>
      </c>
      <c r="E15" s="5">
        <f t="shared" si="0"/>
        <v>0.833333333333333</v>
      </c>
      <c r="F15" s="4" t="s">
        <v>10</v>
      </c>
      <c r="G15" s="4"/>
    </row>
    <row r="16" spans="1:7">
      <c r="A16" s="4">
        <v>12</v>
      </c>
      <c r="B16" s="4" t="s">
        <v>21</v>
      </c>
      <c r="C16" s="4">
        <v>4</v>
      </c>
      <c r="D16" s="4">
        <v>3</v>
      </c>
      <c r="E16" s="5">
        <f t="shared" si="0"/>
        <v>0.75</v>
      </c>
      <c r="F16" s="4" t="s">
        <v>10</v>
      </c>
      <c r="G16" s="4"/>
    </row>
    <row r="17" spans="1:7">
      <c r="A17" s="4">
        <v>13</v>
      </c>
      <c r="B17" s="4" t="s">
        <v>22</v>
      </c>
      <c r="C17" s="4">
        <v>4</v>
      </c>
      <c r="D17" s="4">
        <v>3</v>
      </c>
      <c r="E17" s="5">
        <f t="shared" si="0"/>
        <v>0.75</v>
      </c>
      <c r="F17" s="4" t="s">
        <v>10</v>
      </c>
      <c r="G17" s="4"/>
    </row>
    <row r="18" spans="1:7">
      <c r="A18" s="4">
        <v>14</v>
      </c>
      <c r="B18" s="4" t="s">
        <v>23</v>
      </c>
      <c r="C18" s="4">
        <v>5</v>
      </c>
      <c r="D18" s="4">
        <v>5</v>
      </c>
      <c r="E18" s="5">
        <f t="shared" si="0"/>
        <v>1</v>
      </c>
      <c r="F18" s="4" t="s">
        <v>10</v>
      </c>
      <c r="G18" s="4"/>
    </row>
    <row r="19" spans="1:7">
      <c r="A19" s="4">
        <v>15</v>
      </c>
      <c r="B19" s="4" t="s">
        <v>24</v>
      </c>
      <c r="C19" s="4">
        <v>8</v>
      </c>
      <c r="D19" s="4">
        <v>5</v>
      </c>
      <c r="E19" s="5">
        <f t="shared" si="0"/>
        <v>0.625</v>
      </c>
      <c r="F19" s="4" t="s">
        <v>10</v>
      </c>
      <c r="G19" s="4"/>
    </row>
    <row r="20" spans="1:7">
      <c r="A20" s="4">
        <v>16</v>
      </c>
      <c r="B20" s="4" t="s">
        <v>25</v>
      </c>
      <c r="C20" s="4">
        <v>8</v>
      </c>
      <c r="D20" s="4">
        <v>8</v>
      </c>
      <c r="E20" s="5">
        <f t="shared" si="0"/>
        <v>1</v>
      </c>
      <c r="F20" s="4" t="s">
        <v>10</v>
      </c>
      <c r="G20" s="4"/>
    </row>
    <row r="21" spans="1:7">
      <c r="A21" s="4">
        <v>17</v>
      </c>
      <c r="B21" s="4" t="s">
        <v>26</v>
      </c>
      <c r="C21" s="4">
        <v>3</v>
      </c>
      <c r="D21" s="4">
        <v>3</v>
      </c>
      <c r="E21" s="5">
        <f t="shared" si="0"/>
        <v>1</v>
      </c>
      <c r="F21" s="4" t="s">
        <v>10</v>
      </c>
      <c r="G21" s="4"/>
    </row>
    <row r="22" spans="1:7">
      <c r="A22" s="4">
        <v>18</v>
      </c>
      <c r="B22" s="4" t="s">
        <v>27</v>
      </c>
      <c r="C22" s="4">
        <v>2</v>
      </c>
      <c r="D22" s="4">
        <v>2</v>
      </c>
      <c r="E22" s="5">
        <f t="shared" si="0"/>
        <v>1</v>
      </c>
      <c r="F22" s="4" t="s">
        <v>10</v>
      </c>
      <c r="G22" s="4"/>
    </row>
    <row r="23" spans="1:7">
      <c r="A23" s="4">
        <v>19</v>
      </c>
      <c r="B23" s="4" t="s">
        <v>28</v>
      </c>
      <c r="C23" s="4">
        <v>4</v>
      </c>
      <c r="D23" s="4">
        <v>2</v>
      </c>
      <c r="E23" s="5">
        <f t="shared" si="0"/>
        <v>0.5</v>
      </c>
      <c r="F23" s="4" t="s">
        <v>10</v>
      </c>
      <c r="G23" s="4"/>
    </row>
    <row r="24" spans="1:7">
      <c r="A24" s="4">
        <v>20</v>
      </c>
      <c r="B24" s="4" t="s">
        <v>29</v>
      </c>
      <c r="C24" s="4">
        <v>5</v>
      </c>
      <c r="D24" s="4">
        <v>3</v>
      </c>
      <c r="E24" s="5">
        <f t="shared" si="0"/>
        <v>0.6</v>
      </c>
      <c r="F24" s="4" t="s">
        <v>10</v>
      </c>
      <c r="G24" s="4"/>
    </row>
  </sheetData>
  <mergeCells count="2">
    <mergeCell ref="A1:G1"/>
    <mergeCell ref="A2:G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"/>
  <sheetViews>
    <sheetView workbookViewId="0">
      <selection activeCell="A1" sqref="A1:F1"/>
    </sheetView>
  </sheetViews>
  <sheetFormatPr defaultColWidth="9" defaultRowHeight="14" outlineLevelCol="5"/>
  <cols>
    <col min="1" max="1" width="22" customWidth="1"/>
    <col min="2" max="2" width="30" customWidth="1"/>
    <col min="3" max="3" width="22" customWidth="1"/>
    <col min="4" max="4" width="36" customWidth="1"/>
  </cols>
  <sheetData>
    <row r="1" ht="17.5" spans="1:4">
      <c r="A1" s="2" t="s">
        <v>30</v>
      </c>
    </row>
    <row r="3" spans="1:4">
      <c r="A3" s="3" t="s">
        <v>31</v>
      </c>
      <c r="B3" s="3" t="s">
        <v>32</v>
      </c>
      <c r="C3" s="3" t="s">
        <v>33</v>
      </c>
      <c r="D3" s="3" t="s">
        <v>34</v>
      </c>
    </row>
    <row r="4" spans="1:4">
      <c r="A4" s="4" t="s">
        <v>35</v>
      </c>
      <c r="B4" s="4">
        <f>COUNTIF(填数表!B5:B24,"?*")</f>
        <v>20</v>
      </c>
      <c r="C4" s="4" t="s">
        <v>36</v>
      </c>
      <c r="D4" s="4" t="s">
        <v>37</v>
      </c>
    </row>
    <row r="5" spans="1:4">
      <c r="A5" s="4" t="s">
        <v>38</v>
      </c>
      <c r="B5" s="4">
        <f>COUNTIF(填数表!F5:F24,"已完成")</f>
        <v>20</v>
      </c>
      <c r="C5" s="4" t="s">
        <v>36</v>
      </c>
      <c r="D5" s="4" t="s">
        <v>39</v>
      </c>
    </row>
    <row r="6" spans="1:4">
      <c r="A6" s="4" t="s">
        <v>40</v>
      </c>
      <c r="B6" s="4">
        <f>SUM(填数表!C5:C24)</f>
        <v>121</v>
      </c>
      <c r="C6" s="4" t="s">
        <v>41</v>
      </c>
      <c r="D6" s="4" t="s">
        <v>42</v>
      </c>
    </row>
    <row r="7" spans="1:4">
      <c r="A7" s="4" t="s">
        <v>43</v>
      </c>
      <c r="B7" s="4">
        <f>SUM(填数表!D5:D24)</f>
        <v>99</v>
      </c>
      <c r="C7" s="4" t="s">
        <v>44</v>
      </c>
      <c r="D7" s="4" t="s">
        <v>45</v>
      </c>
    </row>
    <row r="8" spans="1:4">
      <c r="A8" s="4" t="s">
        <v>46</v>
      </c>
      <c r="B8" s="5">
        <f>IF(B6=0,"",B7/B6)</f>
        <v>0.818181818181818</v>
      </c>
      <c r="C8" s="4" t="s">
        <v>47</v>
      </c>
      <c r="D8" s="4" t="s">
        <v>48</v>
      </c>
    </row>
    <row r="9" spans="1:4">
      <c r="A9" s="4" t="s">
        <v>49</v>
      </c>
      <c r="B9" s="5">
        <f>IFERROR(AVERAGEIF(填数表!E5:E24,"&gt;=0",填数表!E5:E24),"")</f>
        <v>0.833367604617605</v>
      </c>
      <c r="C9" s="4" t="s">
        <v>50</v>
      </c>
      <c r="D9" s="4" t="s">
        <v>51</v>
      </c>
    </row>
    <row r="12" spans="1:4">
      <c r="A12" s="6" t="s">
        <v>52</v>
      </c>
    </row>
    <row r="14" spans="1:4">
      <c r="A14" s="3" t="s">
        <v>53</v>
      </c>
      <c r="B14" s="3" t="s">
        <v>54</v>
      </c>
      <c r="C14" s="3" t="s">
        <v>55</v>
      </c>
      <c r="D14" s="3" t="s">
        <v>56</v>
      </c>
    </row>
    <row r="15" spans="1:4">
      <c r="A15" s="4" t="s">
        <v>57</v>
      </c>
      <c r="B15" s="4">
        <f>B6</f>
        <v>121</v>
      </c>
      <c r="C15" s="4" t="s">
        <v>58</v>
      </c>
      <c r="D15" s="4" t="s">
        <v>59</v>
      </c>
    </row>
    <row r="16" spans="1:4">
      <c r="A16" s="4" t="s">
        <v>60</v>
      </c>
      <c r="B16" s="4">
        <f>B7</f>
        <v>99</v>
      </c>
      <c r="C16" s="4" t="s">
        <v>61</v>
      </c>
      <c r="D16" s="4" t="s">
        <v>62</v>
      </c>
    </row>
    <row r="17" spans="1:4">
      <c r="A17" s="4" t="s">
        <v>63</v>
      </c>
      <c r="B17" s="4">
        <f>IF(B8="","",ROUND(B8*100,1))</f>
        <v>81.8</v>
      </c>
      <c r="C17" s="4" t="s">
        <v>64</v>
      </c>
      <c r="D17" s="4" t="s">
        <v>65</v>
      </c>
    </row>
  </sheetData>
  <mergeCells count="1">
    <mergeCell ref="A1:F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0"/>
  <sheetViews>
    <sheetView workbookViewId="0">
      <selection activeCell="A1" sqref="A1"/>
    </sheetView>
  </sheetViews>
  <sheetFormatPr defaultColWidth="9" defaultRowHeight="14"/>
  <cols>
    <col min="1" max="1" width="100" customWidth="1"/>
  </cols>
  <sheetData>
    <row r="1" ht="15" spans="1:1">
      <c r="A1" s="1" t="s">
        <v>66</v>
      </c>
    </row>
    <row r="2" spans="1:1">
      <c r="A2" t="s">
        <v>67</v>
      </c>
    </row>
    <row r="3" spans="1:1">
      <c r="A3" t="s">
        <v>68</v>
      </c>
    </row>
    <row r="4" spans="1:1">
      <c r="A4" t="s">
        <v>69</v>
      </c>
    </row>
    <row r="5" spans="1:1">
      <c r="A5" t="s">
        <v>70</v>
      </c>
    </row>
    <row r="6" spans="1:1">
      <c r="A6" t="s">
        <v>71</v>
      </c>
    </row>
    <row r="7" spans="1:1">
      <c r="A7" t="s">
        <v>72</v>
      </c>
    </row>
    <row r="8" ht="15" spans="1:1">
      <c r="A8" s="1" t="s">
        <v>73</v>
      </c>
    </row>
    <row r="9" spans="1:1">
      <c r="A9" t="s">
        <v>74</v>
      </c>
    </row>
    <row r="10" spans="1:1">
      <c r="A10" t="s">
        <v>72</v>
      </c>
    </row>
    <row r="11" ht="15" spans="1:1">
      <c r="A11" s="1" t="s">
        <v>75</v>
      </c>
    </row>
    <row r="12" spans="1:1">
      <c r="A12" t="s">
        <v>76</v>
      </c>
    </row>
    <row r="13" spans="1:1">
      <c r="A13" t="s">
        <v>77</v>
      </c>
    </row>
    <row r="14" spans="1:1">
      <c r="A14" t="s">
        <v>78</v>
      </c>
    </row>
    <row r="15" spans="1:1">
      <c r="A15" t="s">
        <v>72</v>
      </c>
    </row>
    <row r="16" ht="15" spans="1:1">
      <c r="A16" s="1" t="s">
        <v>79</v>
      </c>
    </row>
    <row r="17" spans="1:1">
      <c r="A17" t="s">
        <v>80</v>
      </c>
    </row>
    <row r="18" spans="1:1">
      <c r="A18" t="s">
        <v>81</v>
      </c>
    </row>
    <row r="19" spans="1:1">
      <c r="A19" t="s">
        <v>82</v>
      </c>
    </row>
    <row r="20" spans="1:1">
      <c r="A20" t="s">
        <v>83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填数表</vt:lpstr>
      <vt:lpstr>汇总</vt:lpstr>
      <vt:lpstr>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sky</cp:lastModifiedBy>
  <dcterms:created xsi:type="dcterms:W3CDTF">2026-05-13T07:13:00Z</dcterms:created>
  <dcterms:modified xsi:type="dcterms:W3CDTF">2026-05-13T07:22:10Z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F7F5C434B70B48379AD8D59B0BFAEF05_12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